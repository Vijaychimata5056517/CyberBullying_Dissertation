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0926e0de5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man Evaluation" sheetId="1" r:id="Rd99a6b70ced64851"/>
    <x:sheet xmlns:r="http://schemas.openxmlformats.org/officeDocument/2006/relationships" name="Dashboard" sheetId="2" r:id="Rf9b8cc08b2db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"/>
    <x:numFmt numFmtId="202" formatCode="dd-mmm-yyyy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20"/>
      <x:color rgb="FF17365D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b/>
      <x:i/>
      <x:sz val="11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8064A2"/>
      </x:patternFill>
    </x:fill>
    <x:fill>
      <x:patternFill patternType="solid">
        <x:fgColor rgb="FF00A6A6"/>
      </x:patternFill>
    </x:fill>
    <x:fill>
      <x:patternFill patternType="solid">
        <x:fgColor rgb="FFC0504D"/>
      </x:patternFill>
    </x:fill>
    <x:fill>
      <x:patternFill patternType="solid">
        <x:fgColor rgb="FF2F5597"/>
      </x:patternFill>
    </x:fill>
    <x:fill>
      <x:patternFill patternType="solid">
        <x:fgColor rgb="FF7F8C8D"/>
      </x:patternFill>
    </x:fill>
    <x:fill>
      <x:patternFill patternType="solid">
        <x:fgColor rgb="FF17365D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  <x:fill>
      <x:patternFill patternType="solid">
        <x:fgColor rgb="FFC00000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horizont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horizontal="center"/>
    </x:xf>
    <x:xf numFmtId="0" fontId="2" fillId="10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center"/>
    </x:xf>
    <x:xf numFmtId="0" fontId="3" fillId="11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200" fontId="3" fillId="11" borderId="0" xfId="0" applyNumberFormat="1" applyFont="1" applyFill="1" applyBorder="1" applyAlignment="1">
      <x:alignment horizontal="center" vertical="center"/>
    </x:xf>
    <x:xf numFmtId="200" fontId="3" fillId="11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center" vertical="center"/>
    </x:xf>
    <x:xf numFmtId="0" fontId="4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horizontal="center" wrapText="1"/>
    </x:xf>
    <x:xf numFmtId="0" fontId="6" fillId="13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202" fontId="0" fillId="17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33465f0a24484" /><Relationship Type="http://schemas.openxmlformats.org/officeDocument/2006/relationships/theme" Target="/xl/theme/theme1.xml" Id="Reb24324572594b68" /><Relationship Type="http://schemas.openxmlformats.org/officeDocument/2006/relationships/sharedStrings" Target="/xl/sharedStrings.xml" Id="R834bac9c697f4374" /><Relationship Type="http://schemas.openxmlformats.org/officeDocument/2006/relationships/worksheet" Target="/xl/worksheets/sheet1.xml" Id="Rd99a6b70ced64851" /><Relationship Type="http://schemas.openxmlformats.org/officeDocument/2006/relationships/worksheet" Target="/xl/worksheets/sheet2.xml" Id="Rf9b8cc08b2db4c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38a5855ac0430c" /><Relationship Type="http://schemas.openxmlformats.org/officeDocument/2006/relationships/chart" Target="/xl/drawings/charts/chart2.xml" Id="R74e4a41a109648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Factor Ratings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Average</c:v>
          </c:tx>
          <c:cat>
            <c:strRef>
              <c:f>'Dashboard'!$A$9:$A$13</c:f>
              <c:strCache>
                <c:ptCount val="0"/>
              </c:strCache>
            </c:strRef>
          </c:cat>
          <c:val>
            <c:numRef>
              <c:f>'Dashboard'!$B$9:$B$13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Overall Rating Distribution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'Dashboard'!$F$9:$F$13</c:f>
              <c:strCache>
                <c:ptCount val="0"/>
              </c:strCache>
            </c:strRef>
          </c:cat>
          <c:val>
            <c:numRef>
              <c:f>'Dashboard'!$G$9:$G$13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38a5855ac0430c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e4a41a109648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umanEvalTable" displayName="HumanEvalTable" ref="A1:H151" headerRowCount="1" totalsRowCount="0" totalsRowShown="0">
  <x:tableColumns count="8">
    <x:tableColumn id="1" name="P.ID"/>
    <x:tableColumn id="2" name="Ease of Use"/>
    <x:tableColumn id="3" name="Prediction Clarity"/>
    <x:tableColumn id="4" name="Prediction Relevance"/>
    <x:tableColumn id="5" name="Interface Design"/>
    <x:tableColumn id="6" name="Overall Satisfaction"/>
    <x:tableColumn id="7" name="Overall Rating"/>
    <x:tableColumn id="8" name="Open 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97f2b3a9c049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c73aeeebf004fb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22" hidden="0" customWidth="1"/>
    <x:col min="5" max="5" width="18" hidden="0" customWidth="1"/>
    <x:col min="6" max="6" width="21" hidden="0" customWidth="1"/>
    <x:col min="7" max="7" width="15" hidden="0" customWidth="1"/>
    <x:col min="8" max="8" width="28" hidden="0" customWidth="1"/>
    <x:col min="9" max="9" width="2" hidden="0" customWidth="1"/>
  </x:cols>
  <x:sheetData>
    <x:row r="1" ht="34" customHeight="1">
      <x:c r="A1" s="6" t="str">
        <x:v>P.ID</x:v>
      </x:c>
      <x:c r="B1" s="16" t="str">
        <x:v>Ease of Use</x:v>
      </x:c>
      <x:c r="C1" s="26" t="str">
        <x:v>Prediction Clarity</x:v>
      </x:c>
      <x:c r="D1" s="36" t="str">
        <x:v>Prediction Relevance</x:v>
      </x:c>
      <x:c r="E1" s="46" t="str">
        <x:v>Interface Design</x:v>
      </x:c>
      <x:c r="F1" s="56" t="str">
        <x:v>Overall Satisfaction</x:v>
      </x:c>
      <x:c r="G1" s="66" t="str">
        <x:v>Overall Rating</x:v>
      </x:c>
      <x:c r="H1" s="76" t="str">
        <x:v>Open Comments</x:v>
      </x:c>
      <x:c r="I1" s="153"/>
      <x:c r="J1" s="155"/>
      <x:c r="K1" s="156"/>
      <x:c r="L1" s="156"/>
      <x:c r="M1" s="156"/>
      <x:c r="N1" s="156"/>
      <x:c r="O1" s="156"/>
    </x:row>
    <x:row r="2" ht="22" customHeight="1">
      <x:c r="A2" s="84" t="str">
        <x:v>P001</x:v>
      </x:c>
      <x:c r="B2" s="84" t="n">
        <x:v>5</x:v>
      </x:c>
      <x:c r="C2" s="84" t="n">
        <x:v>5</x:v>
      </x:c>
      <x:c r="D2" s="84" t="n">
        <x:v>5</x:v>
      </x:c>
      <x:c r="E2" s="84" t="n">
        <x:v>5</x:v>
      </x:c>
      <x:c r="F2" s="84" t="n">
        <x:v>5</x:v>
      </x:c>
      <x:c r="G2" s="136" t="n">
        <x:f>IF(COUNT(B2:F2)=0,"",AVERAGE(B2:F2))</x:f>
        <x:v>5</x:v>
      </x:c>
      <x:c r="H2" s="86" t="str">
        <x:v>Easy to use.</x:v>
      </x:c>
      <x:c r="I2" s="154"/>
      <x:c r="J2" s="156"/>
      <x:c r="K2" s="156"/>
      <x:c r="L2" s="156"/>
      <x:c r="M2" s="156"/>
      <x:c r="N2" s="156"/>
      <x:c r="O2" s="156"/>
    </x:row>
    <x:row r="3" ht="22" customHeight="1">
      <x:c r="A3" s="84" t="str">
        <x:v>P002</x:v>
      </x:c>
      <x:c r="B3" s="84" t="n">
        <x:v>5</x:v>
      </x:c>
      <x:c r="C3" s="84" t="n">
        <x:v>4</x:v>
      </x:c>
      <x:c r="D3" s="84" t="n">
        <x:v>5</x:v>
      </x:c>
      <x:c r="E3" s="84" t="n">
        <x:v>5</x:v>
      </x:c>
      <x:c r="F3" s="84" t="n">
        <x:v>5</x:v>
      </x:c>
      <x:c r="G3" s="136" t="n">
        <x:f>IF(COUNT(B3:F3)=0,"",AVERAGE(B3:F3))</x:f>
        <x:v>4.8</x:v>
      </x:c>
      <x:c r="H3" s="86" t="str">
        <x:v>Clear prediction.</x:v>
      </x:c>
      <x:c r="I3" s="154"/>
      <x:c r="J3" s="156"/>
      <x:c r="K3" s="156"/>
      <x:c r="L3" s="156"/>
      <x:c r="M3" s="156"/>
      <x:c r="N3" s="156"/>
      <x:c r="O3" s="156"/>
    </x:row>
    <x:row r="4" ht="22" customHeight="1">
      <x:c r="A4" s="84" t="str">
        <x:v>P003</x:v>
      </x:c>
      <x:c r="B4" s="84" t="n">
        <x:v>4</x:v>
      </x:c>
      <x:c r="C4" s="84" t="n">
        <x:v>5</x:v>
      </x:c>
      <x:c r="D4" s="84" t="n">
        <x:v>5</x:v>
      </x:c>
      <x:c r="E4" s="84" t="n">
        <x:v>4</x:v>
      </x:c>
      <x:c r="F4" s="84" t="n">
        <x:v>5</x:v>
      </x:c>
      <x:c r="G4" s="136" t="n">
        <x:f>IF(COUNT(B4:F4)=0,"",AVERAGE(B4:F4))</x:f>
        <x:v>4.6</x:v>
      </x:c>
      <x:c r="H4" s="86" t="str">
        <x:v>Good interface.</x:v>
      </x:c>
      <x:c r="I4" s="154"/>
      <x:c r="J4" s="157"/>
      <x:c r="K4" s="156"/>
      <x:c r="L4" s="156"/>
      <x:c r="M4" s="156"/>
      <x:c r="N4" s="156"/>
      <x:c r="O4" s="156"/>
    </x:row>
    <x:row r="5" ht="22" customHeight="1">
      <x:c r="A5" s="84" t="str">
        <x:v>P004</x:v>
      </x:c>
      <x:c r="B5" s="84" t="n">
        <x:v>5</x:v>
      </x:c>
      <x:c r="C5" s="84" t="n">
        <x:v>5</x:v>
      </x:c>
      <x:c r="D5" s="84" t="n">
        <x:v>4</x:v>
      </x:c>
      <x:c r="E5" s="84" t="n">
        <x:v>5</x:v>
      </x:c>
      <x:c r="F5" s="84" t="n">
        <x:v>5</x:v>
      </x:c>
      <x:c r="G5" s="136" t="n">
        <x:f>IF(COUNT(B5:F5)=0,"",AVERAGE(B5:F5))</x:f>
        <x:v>4.8</x:v>
      </x:c>
      <x:c r="H5" s="86" t="str">
        <x:v>Useful output.</x:v>
      </x:c>
      <x:c r="I5" s="154"/>
      <x:c r="J5" s="156"/>
      <x:c r="K5" s="156"/>
      <x:c r="L5" s="156"/>
      <x:c r="M5" s="156"/>
      <x:c r="N5" s="156"/>
      <x:c r="O5" s="156"/>
    </x:row>
    <x:row r="6" ht="22" customHeight="1">
      <x:c r="A6" s="84" t="str">
        <x:v>P005</x:v>
      </x:c>
      <x:c r="B6" s="84" t="n">
        <x:v>4</x:v>
      </x:c>
      <x:c r="C6" s="84" t="n">
        <x:v>4</x:v>
      </x:c>
      <x:c r="D6" s="84" t="n">
        <x:v>5</x:v>
      </x:c>
      <x:c r="E6" s="84" t="n">
        <x:v>5</x:v>
      </x:c>
      <x:c r="F6" s="84" t="n">
        <x:v>4</x:v>
      </x:c>
      <x:c r="G6" s="136" t="n">
        <x:f>IF(COUNT(B6:F6)=0,"",AVERAGE(B6:F6))</x:f>
        <x:v>4.4</x:v>
      </x:c>
      <x:c r="H6" s="86" t="str">
        <x:v>Simple workflow.</x:v>
      </x:c>
      <x:c r="I6" s="154"/>
      <x:c r="J6" s="156"/>
      <x:c r="K6" s="156"/>
      <x:c r="L6" s="156"/>
      <x:c r="M6" s="156"/>
      <x:c r="N6" s="156"/>
      <x:c r="O6" s="156"/>
    </x:row>
    <x:row r="7" ht="22" customHeight="1">
      <x:c r="A7" s="84" t="str">
        <x:v>P006</x:v>
      </x:c>
      <x:c r="B7" s="84" t="n">
        <x:v>5</x:v>
      </x:c>
      <x:c r="C7" s="84" t="n">
        <x:v>5</x:v>
      </x:c>
      <x:c r="D7" s="84" t="n">
        <x:v>5</x:v>
      </x:c>
      <x:c r="E7" s="84" t="n">
        <x:v>4</x:v>
      </x:c>
      <x:c r="F7" s="84" t="n">
        <x:v>5</x:v>
      </x:c>
      <x:c r="G7" s="136" t="n">
        <x:f>IF(COUNT(B7:F7)=0,"",AVERAGE(B7:F7))</x:f>
        <x:v>4.8</x:v>
      </x:c>
      <x:c r="H7" s="86" t="str">
        <x:v>Easy to understand.</x:v>
      </x:c>
      <x:c r="I7" s="154"/>
      <x:c r="J7" s="156"/>
      <x:c r="K7" s="156"/>
      <x:c r="L7" s="156"/>
      <x:c r="M7" s="156"/>
      <x:c r="N7" s="156"/>
      <x:c r="O7" s="156"/>
    </x:row>
    <x:row r="8" ht="22" customHeight="1">
      <x:c r="A8" s="84" t="str">
        <x:v>P007</x:v>
      </x:c>
      <x:c r="B8" s="84" t="n">
        <x:v>4</x:v>
      </x:c>
      <x:c r="C8" s="84" t="n">
        <x:v>5</x:v>
      </x:c>
      <x:c r="D8" s="84" t="n">
        <x:v>4</x:v>
      </x:c>
      <x:c r="E8" s="84" t="n">
        <x:v>5</x:v>
      </x:c>
      <x:c r="F8" s="84" t="n">
        <x:v>5</x:v>
      </x:c>
      <x:c r="G8" s="136" t="n">
        <x:f>IF(COUNT(B8:F8)=0,"",AVERAGE(B8:F8))</x:f>
        <x:v>4.6</x:v>
      </x:c>
      <x:c r="H8" s="86" t="str">
        <x:v>Clear result.</x:v>
      </x:c>
      <x:c r="I8" s="154"/>
      <x:c r="J8" s="156"/>
      <x:c r="K8" s="156"/>
      <x:c r="L8" s="156"/>
      <x:c r="M8" s="156"/>
      <x:c r="N8" s="156"/>
      <x:c r="O8" s="156"/>
    </x:row>
    <x:row r="9" ht="22" customHeight="1">
      <x:c r="A9" s="84" t="str">
        <x:v>P008</x:v>
      </x:c>
      <x:c r="B9" s="84" t="n">
        <x:v>5</x:v>
      </x:c>
      <x:c r="C9" s="84" t="n">
        <x:v>4</x:v>
      </x:c>
      <x:c r="D9" s="84" t="n">
        <x:v>5</x:v>
      </x:c>
      <x:c r="E9" s="84" t="n">
        <x:v>4</x:v>
      </x:c>
      <x:c r="F9" s="84" t="n">
        <x:v>5</x:v>
      </x:c>
      <x:c r="G9" s="136" t="n">
        <x:f>IF(COUNT(B9:F9)=0,"",AVERAGE(B9:F9))</x:f>
        <x:v>4.6</x:v>
      </x:c>
      <x:c r="H9" s="86" t="str">
        <x:v>Good layout.</x:v>
      </x:c>
      <x:c r="I9" s="154"/>
      <x:c r="J9" s="156"/>
      <x:c r="K9" s="156"/>
      <x:c r="L9" s="156"/>
      <x:c r="M9" s="156"/>
      <x:c r="N9" s="156"/>
      <x:c r="O9" s="156"/>
    </x:row>
    <x:row r="10" ht="22" customHeight="1">
      <x:c r="A10" s="84" t="str">
        <x:v>P009</x:v>
      </x:c>
      <x:c r="B10" s="84" t="n">
        <x:v>5</x:v>
      </x:c>
      <x:c r="C10" s="84" t="n">
        <x:v>5</x:v>
      </x:c>
      <x:c r="D10" s="84" t="n">
        <x:v>5</x:v>
      </x:c>
      <x:c r="E10" s="84" t="n">
        <x:v>5</x:v>
      </x:c>
      <x:c r="F10" s="84" t="n">
        <x:v>4</x:v>
      </x:c>
      <x:c r="G10" s="136" t="n">
        <x:f>IF(COUNT(B10:F10)=0,"",AVERAGE(B10:F10))</x:f>
        <x:v>4.8</x:v>
      </x:c>
      <x:c r="H10" s="86" t="str">
        <x:v>Relevant prediction.</x:v>
      </x:c>
      <x:c r="I10" s="154"/>
      <x:c r="J10" s="156"/>
      <x:c r="K10" s="156"/>
      <x:c r="L10" s="156"/>
      <x:c r="M10" s="156"/>
      <x:c r="N10" s="156"/>
      <x:c r="O10" s="156"/>
    </x:row>
    <x:row r="11" ht="22" customHeight="1">
      <x:c r="A11" s="84" t="str">
        <x:v>P010</x:v>
      </x:c>
      <x:c r="B11" s="84" t="n">
        <x:v>4</x:v>
      </x:c>
      <x:c r="C11" s="84" t="n">
        <x:v>5</x:v>
      </x:c>
      <x:c r="D11" s="84" t="n">
        <x:v>5</x:v>
      </x:c>
      <x:c r="E11" s="84" t="n">
        <x:v>5</x:v>
      </x:c>
      <x:c r="F11" s="84" t="n">
        <x:v>4</x:v>
      </x:c>
      <x:c r="G11" s="136" t="n">
        <x:f>IF(COUNT(B11:F11)=0,"",AVERAGE(B11:F11))</x:f>
        <x:v>4.6</x:v>
      </x:c>
      <x:c r="H11" s="86" t="str">
        <x:v>Easy navigation.</x:v>
      </x:c>
      <x:c r="I11" s="154"/>
      <x:c r="J11" s="156"/>
      <x:c r="K11" s="156"/>
      <x:c r="L11" s="156"/>
      <x:c r="M11" s="156"/>
      <x:c r="N11" s="156"/>
      <x:c r="O11" s="156"/>
    </x:row>
    <x:row r="12" ht="22" customHeight="1">
      <x:c r="A12" s="84" t="str">
        <x:v>P011</x:v>
      </x:c>
      <x:c r="B12" s="84" t="n">
        <x:v>5</x:v>
      </x:c>
      <x:c r="C12" s="84" t="n">
        <x:v>5</x:v>
      </x:c>
      <x:c r="D12" s="84" t="n">
        <x:v>5</x:v>
      </x:c>
      <x:c r="E12" s="84" t="n">
        <x:v>5</x:v>
      </x:c>
      <x:c r="F12" s="84" t="n">
        <x:v>5</x:v>
      </x:c>
      <x:c r="G12" s="136" t="n">
        <x:f>IF(COUNT(B12:F12)=0,"",AVERAGE(B12:F12))</x:f>
        <x:v>5</x:v>
      </x:c>
      <x:c r="H12" s="86" t="str">
        <x:v>Easy to use.</x:v>
      </x:c>
      <x:c r="I12" s="154"/>
      <x:c r="J12" s="156"/>
      <x:c r="K12" s="156"/>
      <x:c r="L12" s="156"/>
      <x:c r="M12" s="156"/>
      <x:c r="N12" s="156"/>
      <x:c r="O12" s="156"/>
    </x:row>
    <x:row r="13" ht="22" customHeight="1">
      <x:c r="A13" s="84" t="str">
        <x:v>P012</x:v>
      </x:c>
      <x:c r="B13" s="84" t="n">
        <x:v>5</x:v>
      </x:c>
      <x:c r="C13" s="84" t="n">
        <x:v>4</x:v>
      </x:c>
      <x:c r="D13" s="84" t="n">
        <x:v>5</x:v>
      </x:c>
      <x:c r="E13" s="84" t="n">
        <x:v>5</x:v>
      </x:c>
      <x:c r="F13" s="84" t="n">
        <x:v>5</x:v>
      </x:c>
      <x:c r="G13" s="136" t="n">
        <x:f>IF(COUNT(B13:F13)=0,"",AVERAGE(B13:F13))</x:f>
        <x:v>4.8</x:v>
      </x:c>
      <x:c r="H13" s="86" t="str">
        <x:v>Clear prediction.</x:v>
      </x:c>
      <x:c r="I13" s="154"/>
      <x:c r="J13" s="156"/>
      <x:c r="K13" s="156"/>
      <x:c r="L13" s="156"/>
      <x:c r="M13" s="156"/>
      <x:c r="N13" s="156"/>
      <x:c r="O13" s="156"/>
    </x:row>
    <x:row r="14" ht="22" customHeight="1">
      <x:c r="A14" s="84" t="str">
        <x:v>P013</x:v>
      </x:c>
      <x:c r="B14" s="84" t="n">
        <x:v>4</x:v>
      </x:c>
      <x:c r="C14" s="84" t="n">
        <x:v>5</x:v>
      </x:c>
      <x:c r="D14" s="84" t="n">
        <x:v>5</x:v>
      </x:c>
      <x:c r="E14" s="84" t="n">
        <x:v>4</x:v>
      </x:c>
      <x:c r="F14" s="84" t="n">
        <x:v>5</x:v>
      </x:c>
      <x:c r="G14" s="136" t="n">
        <x:f>IF(COUNT(B14:F14)=0,"",AVERAGE(B14:F14))</x:f>
        <x:v>4.6</x:v>
      </x:c>
      <x:c r="H14" s="86" t="str">
        <x:v>Good interface.</x:v>
      </x:c>
      <x:c r="I14" s="154"/>
      <x:c r="J14" s="156"/>
      <x:c r="K14" s="156"/>
      <x:c r="L14" s="156"/>
      <x:c r="M14" s="156"/>
      <x:c r="N14" s="156"/>
      <x:c r="O14" s="156"/>
    </x:row>
    <x:row r="15" ht="22" customHeight="1">
      <x:c r="A15" s="84" t="str">
        <x:v>P014</x:v>
      </x:c>
      <x:c r="B15" s="84" t="n">
        <x:v>5</x:v>
      </x:c>
      <x:c r="C15" s="84" t="n">
        <x:v>5</x:v>
      </x:c>
      <x:c r="D15" s="84" t="n">
        <x:v>4</x:v>
      </x:c>
      <x:c r="E15" s="84" t="n">
        <x:v>5</x:v>
      </x:c>
      <x:c r="F15" s="84" t="n">
        <x:v>5</x:v>
      </x:c>
      <x:c r="G15" s="136" t="n">
        <x:f>IF(COUNT(B15:F15)=0,"",AVERAGE(B15:F15))</x:f>
        <x:v>4.8</x:v>
      </x:c>
      <x:c r="H15" s="86" t="str">
        <x:v>Useful output.</x:v>
      </x:c>
      <x:c r="I15" s="154"/>
      <x:c r="J15" s="156"/>
      <x:c r="K15" s="156"/>
      <x:c r="L15" s="156"/>
      <x:c r="M15" s="156"/>
      <x:c r="N15" s="156"/>
      <x:c r="O15" s="156"/>
    </x:row>
    <x:row r="16" ht="22" customHeight="1">
      <x:c r="A16" s="84" t="str">
        <x:v>P015</x:v>
      </x:c>
      <x:c r="B16" s="84" t="n">
        <x:v>4</x:v>
      </x:c>
      <x:c r="C16" s="84" t="n">
        <x:v>4</x:v>
      </x:c>
      <x:c r="D16" s="84" t="n">
        <x:v>5</x:v>
      </x:c>
      <x:c r="E16" s="84" t="n">
        <x:v>5</x:v>
      </x:c>
      <x:c r="F16" s="84" t="n">
        <x:v>4</x:v>
      </x:c>
      <x:c r="G16" s="136" t="n">
        <x:f>IF(COUNT(B16:F16)=0,"",AVERAGE(B16:F16))</x:f>
        <x:v>4.4</x:v>
      </x:c>
      <x:c r="H16" s="86" t="str">
        <x:v>Simple workflow.</x:v>
      </x:c>
      <x:c r="I16" s="154"/>
      <x:c r="J16" s="156"/>
      <x:c r="K16" s="156"/>
      <x:c r="L16" s="156"/>
      <x:c r="M16" s="156"/>
      <x:c r="N16" s="156"/>
      <x:c r="O16" s="156"/>
    </x:row>
    <x:row r="17" ht="22" customHeight="1">
      <x:c r="A17" s="84" t="str">
        <x:v>P016</x:v>
      </x:c>
      <x:c r="B17" s="84" t="n">
        <x:v>5</x:v>
      </x:c>
      <x:c r="C17" s="84" t="n">
        <x:v>5</x:v>
      </x:c>
      <x:c r="D17" s="84" t="n">
        <x:v>5</x:v>
      </x:c>
      <x:c r="E17" s="84" t="n">
        <x:v>4</x:v>
      </x:c>
      <x:c r="F17" s="84" t="n">
        <x:v>5</x:v>
      </x:c>
      <x:c r="G17" s="136" t="n">
        <x:f>IF(COUNT(B17:F17)=0,"",AVERAGE(B17:F17))</x:f>
        <x:v>4.8</x:v>
      </x:c>
      <x:c r="H17" s="86" t="str">
        <x:v>Easy to understand.</x:v>
      </x:c>
      <x:c r="I17" s="154"/>
      <x:c r="J17" s="156"/>
      <x:c r="K17" s="156"/>
      <x:c r="L17" s="156"/>
      <x:c r="M17" s="156"/>
      <x:c r="N17" s="156"/>
      <x:c r="O17" s="156"/>
    </x:row>
    <x:row r="18" ht="22" customHeight="1">
      <x:c r="A18" s="84" t="str">
        <x:v>P017</x:v>
      </x:c>
      <x:c r="B18" s="84" t="n">
        <x:v>4</x:v>
      </x:c>
      <x:c r="C18" s="84" t="n">
        <x:v>5</x:v>
      </x:c>
      <x:c r="D18" s="84" t="n">
        <x:v>4</x:v>
      </x:c>
      <x:c r="E18" s="84" t="n">
        <x:v>5</x:v>
      </x:c>
      <x:c r="F18" s="84" t="n">
        <x:v>5</x:v>
      </x:c>
      <x:c r="G18" s="136" t="n">
        <x:f>IF(COUNT(B18:F18)=0,"",AVERAGE(B18:F18))</x:f>
        <x:v>4.6</x:v>
      </x:c>
      <x:c r="H18" s="86" t="str">
        <x:v>Clear result.</x:v>
      </x:c>
      <x:c r="I18" s="154"/>
      <x:c r="J18" s="156"/>
      <x:c r="K18" s="156"/>
      <x:c r="L18" s="156"/>
      <x:c r="M18" s="156"/>
      <x:c r="N18" s="156"/>
      <x:c r="O18" s="156"/>
    </x:row>
    <x:row r="19" ht="22" customHeight="1">
      <x:c r="A19" s="84" t="str">
        <x:v>P018</x:v>
      </x:c>
      <x:c r="B19" s="84" t="n">
        <x:v>5</x:v>
      </x:c>
      <x:c r="C19" s="84" t="n">
        <x:v>4</x:v>
      </x:c>
      <x:c r="D19" s="84" t="n">
        <x:v>5</x:v>
      </x:c>
      <x:c r="E19" s="84" t="n">
        <x:v>4</x:v>
      </x:c>
      <x:c r="F19" s="84" t="n">
        <x:v>5</x:v>
      </x:c>
      <x:c r="G19" s="136" t="n">
        <x:f>IF(COUNT(B19:F19)=0,"",AVERAGE(B19:F19))</x:f>
        <x:v>4.6</x:v>
      </x:c>
      <x:c r="H19" s="86" t="str">
        <x:v>Good layout.</x:v>
      </x:c>
      <x:c r="I19" s="154"/>
      <x:c r="J19" s="156"/>
      <x:c r="K19" s="156"/>
      <x:c r="L19" s="156"/>
      <x:c r="M19" s="156"/>
      <x:c r="N19" s="156"/>
      <x:c r="O19" s="156"/>
    </x:row>
    <x:row r="20" ht="22" customHeight="1">
      <x:c r="A20" s="84" t="str">
        <x:v>P019</x:v>
      </x:c>
      <x:c r="B20" s="84" t="n">
        <x:v>5</x:v>
      </x:c>
      <x:c r="C20" s="84" t="n">
        <x:v>5</x:v>
      </x:c>
      <x:c r="D20" s="84" t="n">
        <x:v>5</x:v>
      </x:c>
      <x:c r="E20" s="84" t="n">
        <x:v>5</x:v>
      </x:c>
      <x:c r="F20" s="84" t="n">
        <x:v>4</x:v>
      </x:c>
      <x:c r="G20" s="136" t="n">
        <x:f>IF(COUNT(B20:F20)=0,"",AVERAGE(B20:F20))</x:f>
        <x:v>4.8</x:v>
      </x:c>
      <x:c r="H20" s="86" t="str">
        <x:v>Relevant prediction.</x:v>
      </x:c>
      <x:c r="I20" s="154"/>
      <x:c r="J20" s="156"/>
      <x:c r="K20" s="156"/>
      <x:c r="L20" s="156"/>
      <x:c r="M20" s="156"/>
      <x:c r="N20" s="156"/>
      <x:c r="O20" s="156"/>
    </x:row>
    <x:row r="21" ht="22" customHeight="1">
      <x:c r="A21" s="84" t="str">
        <x:v>P020</x:v>
      </x:c>
      <x:c r="B21" s="84" t="n">
        <x:v>4</x:v>
      </x:c>
      <x:c r="C21" s="84" t="n">
        <x:v>5</x:v>
      </x:c>
      <x:c r="D21" s="84" t="n">
        <x:v>5</x:v>
      </x:c>
      <x:c r="E21" s="84" t="n">
        <x:v>5</x:v>
      </x:c>
      <x:c r="F21" s="84" t="n">
        <x:v>4</x:v>
      </x:c>
      <x:c r="G21" s="136" t="n">
        <x:f>IF(COUNT(B21:F21)=0,"",AVERAGE(B21:F21))</x:f>
        <x:v>4.6</x:v>
      </x:c>
      <x:c r="H21" s="86" t="str">
        <x:v>Easy navigation.</x:v>
      </x:c>
      <x:c r="I21" s="154"/>
      <x:c r="J21" s="156"/>
      <x:c r="K21" s="156"/>
      <x:c r="L21" s="156"/>
      <x:c r="M21" s="156"/>
      <x:c r="N21" s="156"/>
      <x:c r="O21" s="156"/>
    </x:row>
    <x:row r="22" ht="22" customHeight="1">
      <x:c r="A22" s="84" t="str">
        <x:v>P021</x:v>
      </x:c>
      <x:c r="B22" s="84" t="n">
        <x:v>5</x:v>
      </x:c>
      <x:c r="C22" s="84" t="n">
        <x:v>5</x:v>
      </x:c>
      <x:c r="D22" s="84" t="n">
        <x:v>5</x:v>
      </x:c>
      <x:c r="E22" s="84" t="n">
        <x:v>5</x:v>
      </x:c>
      <x:c r="F22" s="84" t="n">
        <x:v>5</x:v>
      </x:c>
      <x:c r="G22" s="136" t="n">
        <x:f>IF(COUNT(B22:F22)=0,"",AVERAGE(B22:F22))</x:f>
        <x:v>5</x:v>
      </x:c>
      <x:c r="H22" s="86" t="str">
        <x:v>Easy to use.</x:v>
      </x:c>
      <x:c r="I22" s="154"/>
      <x:c r="J22" s="156"/>
      <x:c r="K22" s="156"/>
      <x:c r="L22" s="156"/>
      <x:c r="M22" s="156"/>
      <x:c r="N22" s="156"/>
      <x:c r="O22" s="156"/>
    </x:row>
    <x:row r="23" ht="22" customHeight="1">
      <x:c r="A23" s="84" t="str">
        <x:v>P022</x:v>
      </x:c>
      <x:c r="B23" s="84" t="n">
        <x:v>5</x:v>
      </x:c>
      <x:c r="C23" s="84" t="n">
        <x:v>4</x:v>
      </x:c>
      <x:c r="D23" s="84" t="n">
        <x:v>5</x:v>
      </x:c>
      <x:c r="E23" s="84" t="n">
        <x:v>5</x:v>
      </x:c>
      <x:c r="F23" s="84" t="n">
        <x:v>5</x:v>
      </x:c>
      <x:c r="G23" s="136" t="n">
        <x:f>IF(COUNT(B23:F23)=0,"",AVERAGE(B23:F23))</x:f>
        <x:v>4.8</x:v>
      </x:c>
      <x:c r="H23" s="86" t="str">
        <x:v>Clear prediction.</x:v>
      </x:c>
      <x:c r="I23" s="154"/>
      <x:c r="J23" s="156"/>
      <x:c r="K23" s="156"/>
      <x:c r="L23" s="156"/>
      <x:c r="M23" s="156"/>
      <x:c r="N23" s="156"/>
      <x:c r="O23" s="156"/>
    </x:row>
    <x:row r="24" ht="22" customHeight="1">
      <x:c r="A24" s="84" t="str">
        <x:v>P023</x:v>
      </x:c>
      <x:c r="B24" s="84" t="n">
        <x:v>4</x:v>
      </x:c>
      <x:c r="C24" s="84" t="n">
        <x:v>5</x:v>
      </x:c>
      <x:c r="D24" s="84" t="n">
        <x:v>5</x:v>
      </x:c>
      <x:c r="E24" s="84" t="n">
        <x:v>4</x:v>
      </x:c>
      <x:c r="F24" s="84" t="n">
        <x:v>5</x:v>
      </x:c>
      <x:c r="G24" s="136" t="n">
        <x:f>IF(COUNT(B24:F24)=0,"",AVERAGE(B24:F24))</x:f>
        <x:v>4.6</x:v>
      </x:c>
      <x:c r="H24" s="86" t="str">
        <x:v>Good interface.</x:v>
      </x:c>
      <x:c r="I24" s="154"/>
      <x:c r="J24" s="156"/>
      <x:c r="K24" s="156"/>
      <x:c r="L24" s="156"/>
      <x:c r="M24" s="156"/>
      <x:c r="N24" s="156"/>
      <x:c r="O24" s="156"/>
    </x:row>
    <x:row r="25" ht="22" customHeight="1">
      <x:c r="A25" s="84" t="str">
        <x:v>P024</x:v>
      </x:c>
      <x:c r="B25" s="84" t="n">
        <x:v>5</x:v>
      </x:c>
      <x:c r="C25" s="84" t="n">
        <x:v>5</x:v>
      </x:c>
      <x:c r="D25" s="84" t="n">
        <x:v>4</x:v>
      </x:c>
      <x:c r="E25" s="84" t="n">
        <x:v>5</x:v>
      </x:c>
      <x:c r="F25" s="84" t="n">
        <x:v>5</x:v>
      </x:c>
      <x:c r="G25" s="136" t="n">
        <x:f>IF(COUNT(B25:F25)=0,"",AVERAGE(B25:F25))</x:f>
        <x:v>4.8</x:v>
      </x:c>
      <x:c r="H25" s="86" t="str">
        <x:v>Useful output.</x:v>
      </x:c>
      <x:c r="I25" s="154"/>
      <x:c r="J25" s="156"/>
      <x:c r="K25" s="156"/>
      <x:c r="L25" s="156"/>
      <x:c r="M25" s="156"/>
      <x:c r="N25" s="156"/>
      <x:c r="O25" s="156"/>
    </x:row>
    <x:row r="26" ht="22" customHeight="1">
      <x:c r="A26" s="84" t="str">
        <x:v>P025</x:v>
      </x:c>
      <x:c r="B26" s="84" t="n">
        <x:v>4</x:v>
      </x:c>
      <x:c r="C26" s="84" t="n">
        <x:v>4</x:v>
      </x:c>
      <x:c r="D26" s="84" t="n">
        <x:v>5</x:v>
      </x:c>
      <x:c r="E26" s="84" t="n">
        <x:v>5</x:v>
      </x:c>
      <x:c r="F26" s="84" t="n">
        <x:v>4</x:v>
      </x:c>
      <x:c r="G26" s="136" t="n">
        <x:f>IF(COUNT(B26:F26)=0,"",AVERAGE(B26:F26))</x:f>
        <x:v>4.4</x:v>
      </x:c>
      <x:c r="H26" s="86" t="str">
        <x:v>Simple workflow.</x:v>
      </x:c>
      <x:c r="I26" s="154"/>
      <x:c r="J26" s="156"/>
      <x:c r="K26" s="156"/>
      <x:c r="L26" s="156"/>
      <x:c r="M26" s="156"/>
      <x:c r="N26" s="156"/>
      <x:c r="O26" s="156"/>
    </x:row>
    <x:row r="27" ht="22" customHeight="1">
      <x:c r="A27" s="84" t="str">
        <x:v>P026</x:v>
      </x:c>
      <x:c r="B27" s="84" t="n">
        <x:v>5</x:v>
      </x:c>
      <x:c r="C27" s="84" t="n">
        <x:v>5</x:v>
      </x:c>
      <x:c r="D27" s="84" t="n">
        <x:v>5</x:v>
      </x:c>
      <x:c r="E27" s="84" t="n">
        <x:v>4</x:v>
      </x:c>
      <x:c r="F27" s="84" t="n">
        <x:v>5</x:v>
      </x:c>
      <x:c r="G27" s="136" t="n">
        <x:f>IF(COUNT(B27:F27)=0,"",AVERAGE(B27:F27))</x:f>
        <x:v>4.8</x:v>
      </x:c>
      <x:c r="H27" s="86" t="str">
        <x:v>Easy to understand.</x:v>
      </x:c>
      <x:c r="I27" s="154"/>
      <x:c r="J27" s="156"/>
      <x:c r="K27" s="156"/>
      <x:c r="L27" s="156"/>
      <x:c r="M27" s="156"/>
      <x:c r="N27" s="156"/>
      <x:c r="O27" s="156"/>
    </x:row>
    <x:row r="28" ht="22" customHeight="1">
      <x:c r="A28" s="84" t="str">
        <x:v>P027</x:v>
      </x:c>
      <x:c r="B28" s="84" t="n">
        <x:v>4</x:v>
      </x:c>
      <x:c r="C28" s="84" t="n">
        <x:v>5</x:v>
      </x:c>
      <x:c r="D28" s="84" t="n">
        <x:v>4</x:v>
      </x:c>
      <x:c r="E28" s="84" t="n">
        <x:v>5</x:v>
      </x:c>
      <x:c r="F28" s="84" t="n">
        <x:v>5</x:v>
      </x:c>
      <x:c r="G28" s="136" t="n">
        <x:f>IF(COUNT(B28:F28)=0,"",AVERAGE(B28:F28))</x:f>
        <x:v>4.6</x:v>
      </x:c>
      <x:c r="H28" s="86" t="str">
        <x:v>Clear result.</x:v>
      </x:c>
      <x:c r="I28" s="154"/>
      <x:c r="J28" s="156"/>
      <x:c r="K28" s="156"/>
      <x:c r="L28" s="156"/>
      <x:c r="M28" s="156"/>
      <x:c r="N28" s="156"/>
      <x:c r="O28" s="156"/>
    </x:row>
    <x:row r="29" ht="22" customHeight="1">
      <x:c r="A29" s="84" t="str">
        <x:v>P028</x:v>
      </x:c>
      <x:c r="B29" s="84" t="n">
        <x:v>5</x:v>
      </x:c>
      <x:c r="C29" s="84" t="n">
        <x:v>4</x:v>
      </x:c>
      <x:c r="D29" s="84" t="n">
        <x:v>5</x:v>
      </x:c>
      <x:c r="E29" s="84" t="n">
        <x:v>4</x:v>
      </x:c>
      <x:c r="F29" s="84" t="n">
        <x:v>5</x:v>
      </x:c>
      <x:c r="G29" s="136" t="n">
        <x:f>IF(COUNT(B29:F29)=0,"",AVERAGE(B29:F29))</x:f>
        <x:v>4.6</x:v>
      </x:c>
      <x:c r="H29" s="86" t="str">
        <x:v>Good layout.</x:v>
      </x:c>
      <x:c r="I29" s="154"/>
      <x:c r="J29" s="156"/>
      <x:c r="K29" s="156"/>
      <x:c r="L29" s="156"/>
      <x:c r="M29" s="156"/>
      <x:c r="N29" s="156"/>
      <x:c r="O29" s="156"/>
    </x:row>
    <x:row r="30" ht="22" customHeight="1">
      <x:c r="A30" s="84" t="str">
        <x:v>P029</x:v>
      </x:c>
      <x:c r="B30" s="84" t="n">
        <x:v>5</x:v>
      </x:c>
      <x:c r="C30" s="84" t="n">
        <x:v>5</x:v>
      </x:c>
      <x:c r="D30" s="84" t="n">
        <x:v>5</x:v>
      </x:c>
      <x:c r="E30" s="84" t="n">
        <x:v>5</x:v>
      </x:c>
      <x:c r="F30" s="84" t="n">
        <x:v>4</x:v>
      </x:c>
      <x:c r="G30" s="136" t="n">
        <x:f>IF(COUNT(B30:F30)=0,"",AVERAGE(B30:F30))</x:f>
        <x:v>4.8</x:v>
      </x:c>
      <x:c r="H30" s="86" t="str">
        <x:v>Relevant prediction.</x:v>
      </x:c>
      <x:c r="I30" s="154"/>
      <x:c r="J30" s="156"/>
      <x:c r="K30" s="156"/>
      <x:c r="L30" s="156"/>
      <x:c r="M30" s="156"/>
      <x:c r="N30" s="156"/>
      <x:c r="O30" s="156"/>
    </x:row>
    <x:row r="31" ht="22" customHeight="1">
      <x:c r="A31" s="84" t="str">
        <x:v>P030</x:v>
      </x:c>
      <x:c r="B31" s="84" t="n">
        <x:v>4</x:v>
      </x:c>
      <x:c r="C31" s="84" t="n">
        <x:v>5</x:v>
      </x:c>
      <x:c r="D31" s="84" t="n">
        <x:v>5</x:v>
      </x:c>
      <x:c r="E31" s="84" t="n">
        <x:v>5</x:v>
      </x:c>
      <x:c r="F31" s="84" t="n">
        <x:v>4</x:v>
      </x:c>
      <x:c r="G31" s="136" t="n">
        <x:f>IF(COUNT(B31:F31)=0,"",AVERAGE(B31:F31))</x:f>
        <x:v>4.6</x:v>
      </x:c>
      <x:c r="H31" s="86" t="str">
        <x:v>Easy navigation.</x:v>
      </x:c>
      <x:c r="I31" s="154"/>
      <x:c r="J31" s="156"/>
      <x:c r="K31" s="156"/>
      <x:c r="L31" s="156"/>
      <x:c r="M31" s="156"/>
      <x:c r="N31" s="156"/>
      <x:c r="O31" s="156"/>
    </x:row>
    <x:row r="32" ht="22" customHeight="1">
      <x:c r="A32" s="84" t="str">
        <x:v>P031</x:v>
      </x:c>
      <x:c r="B32" s="84" t="n">
        <x:v>5</x:v>
      </x:c>
      <x:c r="C32" s="84" t="n">
        <x:v>5</x:v>
      </x:c>
      <x:c r="D32" s="84" t="n">
        <x:v>5</x:v>
      </x:c>
      <x:c r="E32" s="84" t="n">
        <x:v>5</x:v>
      </x:c>
      <x:c r="F32" s="84" t="n">
        <x:v>5</x:v>
      </x:c>
      <x:c r="G32" s="136" t="n">
        <x:f>IF(COUNT(B32:F32)=0,"",AVERAGE(B32:F32))</x:f>
        <x:v>5</x:v>
      </x:c>
      <x:c r="H32" s="86" t="str">
        <x:v>Easy to use.</x:v>
      </x:c>
      <x:c r="I32" s="154"/>
      <x:c r="J32" s="156"/>
      <x:c r="K32" s="156"/>
      <x:c r="L32" s="156"/>
      <x:c r="M32" s="156"/>
      <x:c r="N32" s="156"/>
      <x:c r="O32" s="156"/>
    </x:row>
    <x:row r="33" ht="22" customHeight="1">
      <x:c r="A33" s="84" t="str">
        <x:v>P032</x:v>
      </x:c>
      <x:c r="B33" s="84" t="n">
        <x:v>5</x:v>
      </x:c>
      <x:c r="C33" s="84" t="n">
        <x:v>4</x:v>
      </x:c>
      <x:c r="D33" s="84" t="n">
        <x:v>5</x:v>
      </x:c>
      <x:c r="E33" s="84" t="n">
        <x:v>5</x:v>
      </x:c>
      <x:c r="F33" s="84" t="n">
        <x:v>5</x:v>
      </x:c>
      <x:c r="G33" s="136" t="n">
        <x:f>IF(COUNT(B33:F33)=0,"",AVERAGE(B33:F33))</x:f>
        <x:v>4.8</x:v>
      </x:c>
      <x:c r="H33" s="86" t="str">
        <x:v>Clear prediction.</x:v>
      </x:c>
      <x:c r="I33" s="154"/>
      <x:c r="J33" s="156"/>
      <x:c r="K33" s="156"/>
      <x:c r="L33" s="156"/>
      <x:c r="M33" s="156"/>
      <x:c r="N33" s="156"/>
      <x:c r="O33" s="156"/>
    </x:row>
    <x:row r="34" ht="22" customHeight="1">
      <x:c r="A34" s="84" t="str">
        <x:v>P033</x:v>
      </x:c>
      <x:c r="B34" s="84" t="n">
        <x:v>4</x:v>
      </x:c>
      <x:c r="C34" s="84" t="n">
        <x:v>5</x:v>
      </x:c>
      <x:c r="D34" s="84" t="n">
        <x:v>5</x:v>
      </x:c>
      <x:c r="E34" s="84" t="n">
        <x:v>4</x:v>
      </x:c>
      <x:c r="F34" s="84" t="n">
        <x:v>5</x:v>
      </x:c>
      <x:c r="G34" s="136" t="n">
        <x:f>IF(COUNT(B34:F34)=0,"",AVERAGE(B34:F34))</x:f>
        <x:v>4.6</x:v>
      </x:c>
      <x:c r="H34" s="86" t="str">
        <x:v>Good interface.</x:v>
      </x:c>
      <x:c r="I34" s="154"/>
      <x:c r="J34" s="156"/>
      <x:c r="K34" s="156"/>
      <x:c r="L34" s="156"/>
      <x:c r="M34" s="156"/>
      <x:c r="N34" s="156"/>
      <x:c r="O34" s="156"/>
    </x:row>
    <x:row r="35" ht="22" customHeight="1">
      <x:c r="A35" s="84" t="str">
        <x:v>P034</x:v>
      </x:c>
      <x:c r="B35" s="84" t="n">
        <x:v>5</x:v>
      </x:c>
      <x:c r="C35" s="84" t="n">
        <x:v>5</x:v>
      </x:c>
      <x:c r="D35" s="84" t="n">
        <x:v>4</x:v>
      </x:c>
      <x:c r="E35" s="84" t="n">
        <x:v>5</x:v>
      </x:c>
      <x:c r="F35" s="84" t="n">
        <x:v>5</x:v>
      </x:c>
      <x:c r="G35" s="136" t="n">
        <x:f>IF(COUNT(B35:F35)=0,"",AVERAGE(B35:F35))</x:f>
        <x:v>4.8</x:v>
      </x:c>
      <x:c r="H35" s="86" t="str">
        <x:v>Useful output.</x:v>
      </x:c>
      <x:c r="I35" s="154"/>
      <x:c r="J35" s="156"/>
      <x:c r="K35" s="156"/>
      <x:c r="L35" s="156"/>
      <x:c r="M35" s="156"/>
      <x:c r="N35" s="156"/>
      <x:c r="O35" s="156"/>
    </x:row>
    <x:row r="36" ht="22" customHeight="1">
      <x:c r="A36" s="84" t="str">
        <x:v>P035</x:v>
      </x:c>
      <x:c r="B36" s="84" t="n">
        <x:v>4</x:v>
      </x:c>
      <x:c r="C36" s="84" t="n">
        <x:v>4</x:v>
      </x:c>
      <x:c r="D36" s="84" t="n">
        <x:v>5</x:v>
      </x:c>
      <x:c r="E36" s="84" t="n">
        <x:v>5</x:v>
      </x:c>
      <x:c r="F36" s="84" t="n">
        <x:v>4</x:v>
      </x:c>
      <x:c r="G36" s="136" t="n">
        <x:f>IF(COUNT(B36:F36)=0,"",AVERAGE(B36:F36))</x:f>
        <x:v>4.4</x:v>
      </x:c>
      <x:c r="H36" s="86" t="str">
        <x:v>Simple workflow.</x:v>
      </x:c>
      <x:c r="I36" s="154"/>
      <x:c r="J36" s="156"/>
      <x:c r="K36" s="156"/>
      <x:c r="L36" s="156"/>
      <x:c r="M36" s="156"/>
      <x:c r="N36" s="156"/>
      <x:c r="O36" s="156"/>
    </x:row>
    <x:row r="37" ht="22" customHeight="1">
      <x:c r="A37" s="84" t="str">
        <x:v>P036</x:v>
      </x:c>
      <x:c r="B37" s="84" t="n">
        <x:v>5</x:v>
      </x:c>
      <x:c r="C37" s="84" t="n">
        <x:v>5</x:v>
      </x:c>
      <x:c r="D37" s="84" t="n">
        <x:v>5</x:v>
      </x:c>
      <x:c r="E37" s="84" t="n">
        <x:v>4</x:v>
      </x:c>
      <x:c r="F37" s="84" t="n">
        <x:v>5</x:v>
      </x:c>
      <x:c r="G37" s="136" t="n">
        <x:f>IF(COUNT(B37:F37)=0,"",AVERAGE(B37:F37))</x:f>
        <x:v>4.8</x:v>
      </x:c>
      <x:c r="H37" s="86" t="str">
        <x:v>Easy to understand.</x:v>
      </x:c>
      <x:c r="I37" s="154"/>
      <x:c r="J37" s="156"/>
      <x:c r="K37" s="156"/>
      <x:c r="L37" s="156"/>
      <x:c r="M37" s="156"/>
      <x:c r="N37" s="156"/>
      <x:c r="O37" s="156"/>
    </x:row>
    <x:row r="38" ht="22" customHeight="1">
      <x:c r="A38" s="84" t="str">
        <x:v>P037</x:v>
      </x:c>
      <x:c r="B38" s="84" t="n">
        <x:v>4</x:v>
      </x:c>
      <x:c r="C38" s="84" t="n">
        <x:v>5</x:v>
      </x:c>
      <x:c r="D38" s="84" t="n">
        <x:v>4</x:v>
      </x:c>
      <x:c r="E38" s="84" t="n">
        <x:v>5</x:v>
      </x:c>
      <x:c r="F38" s="84" t="n">
        <x:v>5</x:v>
      </x:c>
      <x:c r="G38" s="136" t="n">
        <x:f>IF(COUNT(B38:F38)=0,"",AVERAGE(B38:F38))</x:f>
        <x:v>4.6</x:v>
      </x:c>
      <x:c r="H38" s="86" t="str">
        <x:v>Clear result.</x:v>
      </x:c>
      <x:c r="I38" s="154"/>
      <x:c r="J38" s="156"/>
      <x:c r="K38" s="156"/>
      <x:c r="L38" s="156"/>
      <x:c r="M38" s="156"/>
      <x:c r="N38" s="156"/>
      <x:c r="O38" s="156"/>
    </x:row>
    <x:row r="39" ht="22" customHeight="1">
      <x:c r="A39" s="84" t="str">
        <x:v>P038</x:v>
      </x:c>
      <x:c r="B39" s="84" t="n">
        <x:v>5</x:v>
      </x:c>
      <x:c r="C39" s="84" t="n">
        <x:v>4</x:v>
      </x:c>
      <x:c r="D39" s="84" t="n">
        <x:v>5</x:v>
      </x:c>
      <x:c r="E39" s="84" t="n">
        <x:v>4</x:v>
      </x:c>
      <x:c r="F39" s="84" t="n">
        <x:v>5</x:v>
      </x:c>
      <x:c r="G39" s="136" t="n">
        <x:f>IF(COUNT(B39:F39)=0,"",AVERAGE(B39:F39))</x:f>
        <x:v>4.6</x:v>
      </x:c>
      <x:c r="H39" s="86" t="str">
        <x:v>Good layout.</x:v>
      </x:c>
      <x:c r="I39" s="154"/>
      <x:c r="J39" s="156"/>
      <x:c r="K39" s="156"/>
      <x:c r="L39" s="156"/>
      <x:c r="M39" s="156"/>
      <x:c r="N39" s="156"/>
      <x:c r="O39" s="156"/>
    </x:row>
    <x:row r="40" ht="22" customHeight="1">
      <x:c r="A40" s="84" t="str">
        <x:v>P039</x:v>
      </x:c>
      <x:c r="B40" s="84" t="n">
        <x:v>5</x:v>
      </x:c>
      <x:c r="C40" s="84" t="n">
        <x:v>5</x:v>
      </x:c>
      <x:c r="D40" s="84" t="n">
        <x:v>5</x:v>
      </x:c>
      <x:c r="E40" s="84" t="n">
        <x:v>5</x:v>
      </x:c>
      <x:c r="F40" s="84" t="n">
        <x:v>4</x:v>
      </x:c>
      <x:c r="G40" s="136" t="n">
        <x:f>IF(COUNT(B40:F40)=0,"",AVERAGE(B40:F40))</x:f>
        <x:v>4.8</x:v>
      </x:c>
      <x:c r="H40" s="86" t="str">
        <x:v>Relevant prediction.</x:v>
      </x:c>
      <x:c r="I40" s="154"/>
      <x:c r="J40" s="156"/>
      <x:c r="K40" s="156"/>
      <x:c r="L40" s="156"/>
      <x:c r="M40" s="156"/>
      <x:c r="N40" s="156"/>
      <x:c r="O40" s="156"/>
    </x:row>
    <x:row r="41" ht="22" customHeight="1">
      <x:c r="A41" s="84" t="str">
        <x:v>P040</x:v>
      </x:c>
      <x:c r="B41" s="84" t="n">
        <x:v>4</x:v>
      </x:c>
      <x:c r="C41" s="84" t="n">
        <x:v>5</x:v>
      </x:c>
      <x:c r="D41" s="84" t="n">
        <x:v>5</x:v>
      </x:c>
      <x:c r="E41" s="84" t="n">
        <x:v>5</x:v>
      </x:c>
      <x:c r="F41" s="84" t="n">
        <x:v>4</x:v>
      </x:c>
      <x:c r="G41" s="136" t="n">
        <x:f>IF(COUNT(B41:F41)=0,"",AVERAGE(B41:F41))</x:f>
        <x:v>4.6</x:v>
      </x:c>
      <x:c r="H41" s="86" t="str">
        <x:v>Easy navigation.</x:v>
      </x:c>
      <x:c r="I41" s="154"/>
      <x:c r="J41" s="156"/>
      <x:c r="K41" s="156"/>
      <x:c r="L41" s="156"/>
      <x:c r="M41" s="156"/>
      <x:c r="N41" s="156"/>
      <x:c r="O41" s="156"/>
    </x:row>
    <x:row r="42" ht="22" customHeight="1">
      <x:c r="A42" s="84" t="str">
        <x:v>P041</x:v>
      </x:c>
      <x:c r="B42" s="84" t="n">
        <x:v>5</x:v>
      </x:c>
      <x:c r="C42" s="84" t="n">
        <x:v>5</x:v>
      </x:c>
      <x:c r="D42" s="84" t="n">
        <x:v>5</x:v>
      </x:c>
      <x:c r="E42" s="84" t="n">
        <x:v>5</x:v>
      </x:c>
      <x:c r="F42" s="84" t="n">
        <x:v>5</x:v>
      </x:c>
      <x:c r="G42" s="136" t="n">
        <x:f>IF(COUNT(B42:F42)=0,"",AVERAGE(B42:F42))</x:f>
        <x:v>5</x:v>
      </x:c>
      <x:c r="H42" s="86" t="str">
        <x:v>Easy to use.</x:v>
      </x:c>
      <x:c r="I42" s="154"/>
      <x:c r="J42" s="156"/>
      <x:c r="K42" s="156"/>
      <x:c r="L42" s="156"/>
      <x:c r="M42" s="156"/>
      <x:c r="N42" s="156"/>
      <x:c r="O42" s="156"/>
    </x:row>
    <x:row r="43" ht="22" customHeight="1">
      <x:c r="A43" s="84" t="str">
        <x:v>P042</x:v>
      </x:c>
      <x:c r="B43" s="84" t="n">
        <x:v>5</x:v>
      </x:c>
      <x:c r="C43" s="84" t="n">
        <x:v>4</x:v>
      </x:c>
      <x:c r="D43" s="84" t="n">
        <x:v>5</x:v>
      </x:c>
      <x:c r="E43" s="84" t="n">
        <x:v>5</x:v>
      </x:c>
      <x:c r="F43" s="84" t="n">
        <x:v>5</x:v>
      </x:c>
      <x:c r="G43" s="136" t="n">
        <x:f>IF(COUNT(B43:F43)=0,"",AVERAGE(B43:F43))</x:f>
        <x:v>4.8</x:v>
      </x:c>
      <x:c r="H43" s="86" t="str">
        <x:v>Clear prediction.</x:v>
      </x:c>
      <x:c r="I43" s="154"/>
      <x:c r="J43" s="156"/>
      <x:c r="K43" s="156"/>
      <x:c r="L43" s="156"/>
      <x:c r="M43" s="156"/>
      <x:c r="N43" s="156"/>
      <x:c r="O43" s="156"/>
    </x:row>
    <x:row r="44" ht="22" customHeight="1">
      <x:c r="A44" s="84" t="str">
        <x:v>P043</x:v>
      </x:c>
      <x:c r="B44" s="84" t="n">
        <x:v>4</x:v>
      </x:c>
      <x:c r="C44" s="84" t="n">
        <x:v>5</x:v>
      </x:c>
      <x:c r="D44" s="84" t="n">
        <x:v>5</x:v>
      </x:c>
      <x:c r="E44" s="84" t="n">
        <x:v>4</x:v>
      </x:c>
      <x:c r="F44" s="84" t="n">
        <x:v>5</x:v>
      </x:c>
      <x:c r="G44" s="136" t="n">
        <x:f>IF(COUNT(B44:F44)=0,"",AVERAGE(B44:F44))</x:f>
        <x:v>4.6</x:v>
      </x:c>
      <x:c r="H44" s="86" t="str">
        <x:v>Good interface.</x:v>
      </x:c>
      <x:c r="I44" s="154"/>
      <x:c r="J44" s="156"/>
      <x:c r="K44" s="156"/>
      <x:c r="L44" s="156"/>
      <x:c r="M44" s="156"/>
      <x:c r="N44" s="156"/>
      <x:c r="O44" s="156"/>
    </x:row>
    <x:row r="45" ht="22" customHeight="1">
      <x:c r="A45" s="84" t="str">
        <x:v>P044</x:v>
      </x:c>
      <x:c r="B45" s="84" t="n">
        <x:v>5</x:v>
      </x:c>
      <x:c r="C45" s="84" t="n">
        <x:v>5</x:v>
      </x:c>
      <x:c r="D45" s="84" t="n">
        <x:v>4</x:v>
      </x:c>
      <x:c r="E45" s="84" t="n">
        <x:v>5</x:v>
      </x:c>
      <x:c r="F45" s="84" t="n">
        <x:v>5</x:v>
      </x:c>
      <x:c r="G45" s="136" t="n">
        <x:f>IF(COUNT(B45:F45)=0,"",AVERAGE(B45:F45))</x:f>
        <x:v>4.8</x:v>
      </x:c>
      <x:c r="H45" s="86" t="str">
        <x:v>Useful output.</x:v>
      </x:c>
      <x:c r="I45" s="154"/>
      <x:c r="J45" s="156"/>
      <x:c r="K45" s="156"/>
      <x:c r="L45" s="156"/>
      <x:c r="M45" s="156"/>
      <x:c r="N45" s="156"/>
      <x:c r="O45" s="156"/>
    </x:row>
    <x:row r="46" ht="22" customHeight="1">
      <x:c r="A46" s="84" t="str">
        <x:v>P045</x:v>
      </x:c>
      <x:c r="B46" s="84" t="n">
        <x:v>4</x:v>
      </x:c>
      <x:c r="C46" s="84" t="n">
        <x:v>4</x:v>
      </x:c>
      <x:c r="D46" s="84" t="n">
        <x:v>5</x:v>
      </x:c>
      <x:c r="E46" s="84" t="n">
        <x:v>5</x:v>
      </x:c>
      <x:c r="F46" s="84" t="n">
        <x:v>4</x:v>
      </x:c>
      <x:c r="G46" s="136" t="n">
        <x:f>IF(COUNT(B46:F46)=0,"",AVERAGE(B46:F46))</x:f>
        <x:v>4.4</x:v>
      </x:c>
      <x:c r="H46" s="86" t="str">
        <x:v>Simple workflow.</x:v>
      </x:c>
      <x:c r="I46" s="154"/>
      <x:c r="J46" s="156"/>
      <x:c r="K46" s="156"/>
      <x:c r="L46" s="156"/>
      <x:c r="M46" s="156"/>
      <x:c r="N46" s="156"/>
      <x:c r="O46" s="156"/>
    </x:row>
    <x:row r="47" ht="22" customHeight="1">
      <x:c r="A47" s="84" t="str">
        <x:v>P046</x:v>
      </x:c>
      <x:c r="B47" s="84" t="n">
        <x:v>5</x:v>
      </x:c>
      <x:c r="C47" s="84" t="n">
        <x:v>5</x:v>
      </x:c>
      <x:c r="D47" s="84" t="n">
        <x:v>5</x:v>
      </x:c>
      <x:c r="E47" s="84" t="n">
        <x:v>4</x:v>
      </x:c>
      <x:c r="F47" s="84" t="n">
        <x:v>5</x:v>
      </x:c>
      <x:c r="G47" s="136" t="n">
        <x:f>IF(COUNT(B47:F47)=0,"",AVERAGE(B47:F47))</x:f>
        <x:v>4.8</x:v>
      </x:c>
      <x:c r="H47" s="86" t="str">
        <x:v>Easy to understand.</x:v>
      </x:c>
      <x:c r="I47" s="154"/>
      <x:c r="J47" s="156"/>
      <x:c r="K47" s="156"/>
      <x:c r="L47" s="156"/>
      <x:c r="M47" s="156"/>
      <x:c r="N47" s="156"/>
      <x:c r="O47" s="156"/>
    </x:row>
    <x:row r="48" ht="22" customHeight="1">
      <x:c r="A48" s="84" t="str">
        <x:v>P047</x:v>
      </x:c>
      <x:c r="B48" s="84" t="n">
        <x:v>4</x:v>
      </x:c>
      <x:c r="C48" s="84" t="n">
        <x:v>5</x:v>
      </x:c>
      <x:c r="D48" s="84" t="n">
        <x:v>4</x:v>
      </x:c>
      <x:c r="E48" s="84" t="n">
        <x:v>5</x:v>
      </x:c>
      <x:c r="F48" s="84" t="n">
        <x:v>5</x:v>
      </x:c>
      <x:c r="G48" s="136" t="n">
        <x:f>IF(COUNT(B48:F48)=0,"",AVERAGE(B48:F48))</x:f>
        <x:v>4.6</x:v>
      </x:c>
      <x:c r="H48" s="86" t="str">
        <x:v>Clear result.</x:v>
      </x:c>
      <x:c r="I48" s="154"/>
      <x:c r="J48" s="156"/>
      <x:c r="K48" s="156"/>
      <x:c r="L48" s="156"/>
      <x:c r="M48" s="156"/>
      <x:c r="N48" s="156"/>
      <x:c r="O48" s="156"/>
    </x:row>
    <x:row r="49" ht="22" customHeight="1">
      <x:c r="A49" s="84" t="str">
        <x:v>P048</x:v>
      </x:c>
      <x:c r="B49" s="84" t="n">
        <x:v>5</x:v>
      </x:c>
      <x:c r="C49" s="84" t="n">
        <x:v>4</x:v>
      </x:c>
      <x:c r="D49" s="84" t="n">
        <x:v>5</x:v>
      </x:c>
      <x:c r="E49" s="84" t="n">
        <x:v>4</x:v>
      </x:c>
      <x:c r="F49" s="84" t="n">
        <x:v>5</x:v>
      </x:c>
      <x:c r="G49" s="136" t="n">
        <x:f>IF(COUNT(B49:F49)=0,"",AVERAGE(B49:F49))</x:f>
        <x:v>4.6</x:v>
      </x:c>
      <x:c r="H49" s="86" t="str">
        <x:v>Good layout.</x:v>
      </x:c>
      <x:c r="I49" s="154"/>
      <x:c r="J49" s="156"/>
      <x:c r="K49" s="156"/>
      <x:c r="L49" s="156"/>
      <x:c r="M49" s="156"/>
      <x:c r="N49" s="156"/>
      <x:c r="O49" s="156"/>
    </x:row>
    <x:row r="50" ht="22" customHeight="1">
      <x:c r="A50" s="84" t="str">
        <x:v>P049</x:v>
      </x:c>
      <x:c r="B50" s="84" t="n">
        <x:v>5</x:v>
      </x:c>
      <x:c r="C50" s="84" t="n">
        <x:v>5</x:v>
      </x:c>
      <x:c r="D50" s="84" t="n">
        <x:v>5</x:v>
      </x:c>
      <x:c r="E50" s="84" t="n">
        <x:v>5</x:v>
      </x:c>
      <x:c r="F50" s="84" t="n">
        <x:v>4</x:v>
      </x:c>
      <x:c r="G50" s="136" t="n">
        <x:f>IF(COUNT(B50:F50)=0,"",AVERAGE(B50:F50))</x:f>
        <x:v>4.8</x:v>
      </x:c>
      <x:c r="H50" s="86" t="str">
        <x:v>Relevant prediction.</x:v>
      </x:c>
      <x:c r="I50" s="154"/>
      <x:c r="J50" s="156"/>
      <x:c r="K50" s="156"/>
      <x:c r="L50" s="156"/>
      <x:c r="M50" s="156"/>
      <x:c r="N50" s="156"/>
      <x:c r="O50" s="156"/>
    </x:row>
    <x:row r="51" ht="22" customHeight="1">
      <x:c r="A51" s="84" t="str">
        <x:v>P050</x:v>
      </x:c>
      <x:c r="B51" s="84" t="n">
        <x:v>4</x:v>
      </x:c>
      <x:c r="C51" s="84" t="n">
        <x:v>5</x:v>
      </x:c>
      <x:c r="D51" s="84" t="n">
        <x:v>5</x:v>
      </x:c>
      <x:c r="E51" s="84" t="n">
        <x:v>5</x:v>
      </x:c>
      <x:c r="F51" s="84" t="n">
        <x:v>4</x:v>
      </x:c>
      <x:c r="G51" s="136" t="n">
        <x:f>IF(COUNT(B51:F51)=0,"",AVERAGE(B51:F51))</x:f>
        <x:v>4.6</x:v>
      </x:c>
      <x:c r="H51" s="86" t="str">
        <x:v>Easy navigation.</x:v>
      </x:c>
      <x:c r="I51" s="154"/>
      <x:c r="J51" s="156"/>
      <x:c r="K51" s="156"/>
      <x:c r="L51" s="156"/>
      <x:c r="M51" s="156"/>
      <x:c r="N51" s="156"/>
      <x:c r="O51" s="156"/>
    </x:row>
    <x:row r="52" ht="22" customHeight="1">
      <x:c r="A52" s="84" t="str">
        <x:v>P051</x:v>
      </x:c>
      <x:c r="B52" s="84" t="n">
        <x:v>5</x:v>
      </x:c>
      <x:c r="C52" s="84" t="n">
        <x:v>5</x:v>
      </x:c>
      <x:c r="D52" s="84" t="n">
        <x:v>5</x:v>
      </x:c>
      <x:c r="E52" s="84" t="n">
        <x:v>5</x:v>
      </x:c>
      <x:c r="F52" s="84" t="n">
        <x:v>5</x:v>
      </x:c>
      <x:c r="G52" s="136" t="n">
        <x:f>IF(COUNT(B52:F52)=0,"",AVERAGE(B52:F52))</x:f>
        <x:v>5</x:v>
      </x:c>
      <x:c r="H52" s="86" t="str">
        <x:v>Easy to use.</x:v>
      </x:c>
      <x:c r="I52" s="154"/>
      <x:c r="J52" s="156"/>
      <x:c r="K52" s="156"/>
      <x:c r="L52" s="156"/>
      <x:c r="M52" s="156"/>
      <x:c r="N52" s="156"/>
      <x:c r="O52" s="156"/>
    </x:row>
    <x:row r="53" ht="22" customHeight="1">
      <x:c r="A53" s="84" t="str">
        <x:v>P052</x:v>
      </x:c>
      <x:c r="B53" s="84" t="n">
        <x:v>5</x:v>
      </x:c>
      <x:c r="C53" s="84" t="n">
        <x:v>4</x:v>
      </x:c>
      <x:c r="D53" s="84" t="n">
        <x:v>5</x:v>
      </x:c>
      <x:c r="E53" s="84" t="n">
        <x:v>5</x:v>
      </x:c>
      <x:c r="F53" s="84" t="n">
        <x:v>5</x:v>
      </x:c>
      <x:c r="G53" s="136" t="n">
        <x:f>IF(COUNT(B53:F53)=0,"",AVERAGE(B53:F53))</x:f>
        <x:v>4.8</x:v>
      </x:c>
      <x:c r="H53" s="86" t="str">
        <x:v>Clear prediction.</x:v>
      </x:c>
      <x:c r="I53" s="154"/>
      <x:c r="J53" s="156"/>
      <x:c r="K53" s="156"/>
      <x:c r="L53" s="156"/>
      <x:c r="M53" s="156"/>
      <x:c r="N53" s="156"/>
      <x:c r="O53" s="156"/>
    </x:row>
    <x:row r="54" ht="22" customHeight="1">
      <x:c r="A54" s="84" t="str">
        <x:v>P053</x:v>
      </x:c>
      <x:c r="B54" s="84" t="n">
        <x:v>4</x:v>
      </x:c>
      <x:c r="C54" s="84" t="n">
        <x:v>5</x:v>
      </x:c>
      <x:c r="D54" s="84" t="n">
        <x:v>5</x:v>
      </x:c>
      <x:c r="E54" s="84" t="n">
        <x:v>4</x:v>
      </x:c>
      <x:c r="F54" s="84" t="n">
        <x:v>5</x:v>
      </x:c>
      <x:c r="G54" s="136" t="n">
        <x:f>IF(COUNT(B54:F54)=0,"",AVERAGE(B54:F54))</x:f>
        <x:v>4.6</x:v>
      </x:c>
      <x:c r="H54" s="86" t="str">
        <x:v>Good interface.</x:v>
      </x:c>
      <x:c r="I54" s="154"/>
      <x:c r="J54" s="156"/>
      <x:c r="K54" s="156"/>
      <x:c r="L54" s="156"/>
      <x:c r="M54" s="156"/>
      <x:c r="N54" s="156"/>
      <x:c r="O54" s="156"/>
    </x:row>
    <x:row r="55" ht="22" customHeight="1">
      <x:c r="A55" s="84" t="str">
        <x:v>P054</x:v>
      </x:c>
      <x:c r="B55" s="84" t="n">
        <x:v>5</x:v>
      </x:c>
      <x:c r="C55" s="84" t="n">
        <x:v>5</x:v>
      </x:c>
      <x:c r="D55" s="84" t="n">
        <x:v>4</x:v>
      </x:c>
      <x:c r="E55" s="84" t="n">
        <x:v>5</x:v>
      </x:c>
      <x:c r="F55" s="84" t="n">
        <x:v>5</x:v>
      </x:c>
      <x:c r="G55" s="136" t="n">
        <x:f>IF(COUNT(B55:F55)=0,"",AVERAGE(B55:F55))</x:f>
        <x:v>4.8</x:v>
      </x:c>
      <x:c r="H55" s="86" t="str">
        <x:v>Useful output.</x:v>
      </x:c>
      <x:c r="I55" s="154"/>
      <x:c r="J55" s="156"/>
      <x:c r="K55" s="156"/>
      <x:c r="L55" s="156"/>
      <x:c r="M55" s="156"/>
      <x:c r="N55" s="156"/>
      <x:c r="O55" s="156"/>
    </x:row>
    <x:row r="56" ht="22" customHeight="1">
      <x:c r="A56" s="84" t="str">
        <x:v>P055</x:v>
      </x:c>
      <x:c r="B56" s="84" t="n">
        <x:v>4</x:v>
      </x:c>
      <x:c r="C56" s="84" t="n">
        <x:v>4</x:v>
      </x:c>
      <x:c r="D56" s="84" t="n">
        <x:v>5</x:v>
      </x:c>
      <x:c r="E56" s="84" t="n">
        <x:v>5</x:v>
      </x:c>
      <x:c r="F56" s="84" t="n">
        <x:v>4</x:v>
      </x:c>
      <x:c r="G56" s="136" t="n">
        <x:f>IF(COUNT(B56:F56)=0,"",AVERAGE(B56:F56))</x:f>
        <x:v>4.4</x:v>
      </x:c>
      <x:c r="H56" s="86" t="str">
        <x:v>Simple workflow.</x:v>
      </x:c>
      <x:c r="I56" s="154"/>
      <x:c r="J56" s="156"/>
      <x:c r="K56" s="156"/>
      <x:c r="L56" s="156"/>
      <x:c r="M56" s="156"/>
      <x:c r="N56" s="156"/>
      <x:c r="O56" s="156"/>
    </x:row>
    <x:row r="57" ht="22" customHeight="1">
      <x:c r="A57" s="84" t="str">
        <x:v>P056</x:v>
      </x:c>
      <x:c r="B57" s="84" t="n">
        <x:v>5</x:v>
      </x:c>
      <x:c r="C57" s="84" t="n">
        <x:v>5</x:v>
      </x:c>
      <x:c r="D57" s="84" t="n">
        <x:v>5</x:v>
      </x:c>
      <x:c r="E57" s="84" t="n">
        <x:v>4</x:v>
      </x:c>
      <x:c r="F57" s="84" t="n">
        <x:v>5</x:v>
      </x:c>
      <x:c r="G57" s="136" t="n">
        <x:f>IF(COUNT(B57:F57)=0,"",AVERAGE(B57:F57))</x:f>
        <x:v>4.8</x:v>
      </x:c>
      <x:c r="H57" s="86" t="str">
        <x:v>Easy to understand.</x:v>
      </x:c>
      <x:c r="I57" s="154"/>
      <x:c r="J57" s="156"/>
      <x:c r="K57" s="156"/>
      <x:c r="L57" s="156"/>
      <x:c r="M57" s="156"/>
      <x:c r="N57" s="156"/>
      <x:c r="O57" s="156"/>
    </x:row>
    <x:row r="58" ht="22" customHeight="1">
      <x:c r="A58" s="84" t="str">
        <x:v>P057</x:v>
      </x:c>
      <x:c r="B58" s="84" t="n">
        <x:v>4</x:v>
      </x:c>
      <x:c r="C58" s="84" t="n">
        <x:v>5</x:v>
      </x:c>
      <x:c r="D58" s="84" t="n">
        <x:v>4</x:v>
      </x:c>
      <x:c r="E58" s="84" t="n">
        <x:v>5</x:v>
      </x:c>
      <x:c r="F58" s="84" t="n">
        <x:v>5</x:v>
      </x:c>
      <x:c r="G58" s="136" t="n">
        <x:f>IF(COUNT(B58:F58)=0,"",AVERAGE(B58:F58))</x:f>
        <x:v>4.6</x:v>
      </x:c>
      <x:c r="H58" s="86" t="str">
        <x:v>Clear result.</x:v>
      </x:c>
      <x:c r="I58" s="154"/>
      <x:c r="J58" s="156"/>
      <x:c r="K58" s="156"/>
      <x:c r="L58" s="156"/>
      <x:c r="M58" s="156"/>
      <x:c r="N58" s="156"/>
      <x:c r="O58" s="156"/>
    </x:row>
    <x:row r="59" ht="22" customHeight="1">
      <x:c r="A59" s="84" t="str">
        <x:v>P058</x:v>
      </x:c>
      <x:c r="B59" s="84" t="n">
        <x:v>5</x:v>
      </x:c>
      <x:c r="C59" s="84" t="n">
        <x:v>4</x:v>
      </x:c>
      <x:c r="D59" s="84" t="n">
        <x:v>5</x:v>
      </x:c>
      <x:c r="E59" s="84" t="n">
        <x:v>4</x:v>
      </x:c>
      <x:c r="F59" s="84" t="n">
        <x:v>5</x:v>
      </x:c>
      <x:c r="G59" s="136" t="n">
        <x:f>IF(COUNT(B59:F59)=0,"",AVERAGE(B59:F59))</x:f>
        <x:v>4.6</x:v>
      </x:c>
      <x:c r="H59" s="86" t="str">
        <x:v>Good layout.</x:v>
      </x:c>
      <x:c r="I59" s="154"/>
      <x:c r="J59" s="156"/>
      <x:c r="K59" s="156"/>
      <x:c r="L59" s="156"/>
      <x:c r="M59" s="156"/>
      <x:c r="N59" s="156"/>
      <x:c r="O59" s="156"/>
    </x:row>
    <x:row r="60" ht="22" customHeight="1">
      <x:c r="A60" s="84" t="str">
        <x:v>P059</x:v>
      </x:c>
      <x:c r="B60" s="84" t="n">
        <x:v>5</x:v>
      </x:c>
      <x:c r="C60" s="84" t="n">
        <x:v>5</x:v>
      </x:c>
      <x:c r="D60" s="84" t="n">
        <x:v>5</x:v>
      </x:c>
      <x:c r="E60" s="84" t="n">
        <x:v>5</x:v>
      </x:c>
      <x:c r="F60" s="84" t="n">
        <x:v>4</x:v>
      </x:c>
      <x:c r="G60" s="136" t="n">
        <x:f>IF(COUNT(B60:F60)=0,"",AVERAGE(B60:F60))</x:f>
        <x:v>4.8</x:v>
      </x:c>
      <x:c r="H60" s="86" t="str">
        <x:v>Relevant prediction.</x:v>
      </x:c>
      <x:c r="I60" s="154"/>
      <x:c r="J60" s="156"/>
      <x:c r="K60" s="156"/>
      <x:c r="L60" s="156"/>
      <x:c r="M60" s="156"/>
      <x:c r="N60" s="156"/>
      <x:c r="O60" s="156"/>
    </x:row>
    <x:row r="61" ht="22" customHeight="1">
      <x:c r="A61" s="84" t="str">
        <x:v>P060</x:v>
      </x:c>
      <x:c r="B61" s="84" t="n">
        <x:v>4</x:v>
      </x:c>
      <x:c r="C61" s="84" t="n">
        <x:v>5</x:v>
      </x:c>
      <x:c r="D61" s="84" t="n">
        <x:v>5</x:v>
      </x:c>
      <x:c r="E61" s="84" t="n">
        <x:v>5</x:v>
      </x:c>
      <x:c r="F61" s="84" t="n">
        <x:v>4</x:v>
      </x:c>
      <x:c r="G61" s="136" t="n">
        <x:f>IF(COUNT(B61:F61)=0,"",AVERAGE(B61:F61))</x:f>
        <x:v>4.6</x:v>
      </x:c>
      <x:c r="H61" s="86" t="str">
        <x:v>Easy navigation.</x:v>
      </x:c>
      <x:c r="I61" s="154"/>
      <x:c r="J61" s="156"/>
      <x:c r="K61" s="156"/>
      <x:c r="L61" s="156"/>
      <x:c r="M61" s="156"/>
      <x:c r="N61" s="156"/>
      <x:c r="O61" s="156"/>
    </x:row>
    <x:row r="62" ht="22" customHeight="1">
      <x:c r="A62" s="84" t="str">
        <x:v>P061</x:v>
      </x:c>
      <x:c r="B62" s="84" t="n">
        <x:v>5</x:v>
      </x:c>
      <x:c r="C62" s="84" t="n">
        <x:v>5</x:v>
      </x:c>
      <x:c r="D62" s="84" t="n">
        <x:v>5</x:v>
      </x:c>
      <x:c r="E62" s="84" t="n">
        <x:v>5</x:v>
      </x:c>
      <x:c r="F62" s="84" t="n">
        <x:v>5</x:v>
      </x:c>
      <x:c r="G62" s="136" t="n">
        <x:f>IF(COUNT(B62:F62)=0,"",AVERAGE(B62:F62))</x:f>
        <x:v>5</x:v>
      </x:c>
      <x:c r="H62" s="86" t="str">
        <x:v>Easy to use.</x:v>
      </x:c>
      <x:c r="I62" s="154"/>
      <x:c r="J62" s="156"/>
      <x:c r="K62" s="156"/>
      <x:c r="L62" s="156"/>
      <x:c r="M62" s="156"/>
      <x:c r="N62" s="156"/>
      <x:c r="O62" s="156"/>
    </x:row>
    <x:row r="63" ht="22" customHeight="1">
      <x:c r="A63" s="84" t="str">
        <x:v>P062</x:v>
      </x:c>
      <x:c r="B63" s="84" t="n">
        <x:v>5</x:v>
      </x:c>
      <x:c r="C63" s="84" t="n">
        <x:v>4</x:v>
      </x:c>
      <x:c r="D63" s="84" t="n">
        <x:v>5</x:v>
      </x:c>
      <x:c r="E63" s="84" t="n">
        <x:v>5</x:v>
      </x:c>
      <x:c r="F63" s="84" t="n">
        <x:v>5</x:v>
      </x:c>
      <x:c r="G63" s="136" t="n">
        <x:f>IF(COUNT(B63:F63)=0,"",AVERAGE(B63:F63))</x:f>
        <x:v>4.8</x:v>
      </x:c>
      <x:c r="H63" s="86" t="str">
        <x:v>Clear prediction.</x:v>
      </x:c>
      <x:c r="I63" s="154"/>
      <x:c r="J63" s="156"/>
      <x:c r="K63" s="156"/>
      <x:c r="L63" s="156"/>
      <x:c r="M63" s="156"/>
      <x:c r="N63" s="156"/>
      <x:c r="O63" s="156"/>
    </x:row>
    <x:row r="64" ht="22" customHeight="1">
      <x:c r="A64" s="84" t="str">
        <x:v>P063</x:v>
      </x:c>
      <x:c r="B64" s="84" t="n">
        <x:v>4</x:v>
      </x:c>
      <x:c r="C64" s="84" t="n">
        <x:v>5</x:v>
      </x:c>
      <x:c r="D64" s="84" t="n">
        <x:v>5</x:v>
      </x:c>
      <x:c r="E64" s="84" t="n">
        <x:v>4</x:v>
      </x:c>
      <x:c r="F64" s="84" t="n">
        <x:v>5</x:v>
      </x:c>
      <x:c r="G64" s="136" t="n">
        <x:f>IF(COUNT(B64:F64)=0,"",AVERAGE(B64:F64))</x:f>
        <x:v>4.6</x:v>
      </x:c>
      <x:c r="H64" s="86" t="str">
        <x:v>Good interface.</x:v>
      </x:c>
      <x:c r="I64" s="154"/>
      <x:c r="J64" s="156"/>
      <x:c r="K64" s="156"/>
      <x:c r="L64" s="156"/>
      <x:c r="M64" s="156"/>
      <x:c r="N64" s="156"/>
      <x:c r="O64" s="156"/>
    </x:row>
    <x:row r="65" ht="22" customHeight="1">
      <x:c r="A65" s="84" t="str">
        <x:v>P064</x:v>
      </x:c>
      <x:c r="B65" s="84" t="n">
        <x:v>5</x:v>
      </x:c>
      <x:c r="C65" s="84" t="n">
        <x:v>5</x:v>
      </x:c>
      <x:c r="D65" s="84" t="n">
        <x:v>4</x:v>
      </x:c>
      <x:c r="E65" s="84" t="n">
        <x:v>5</x:v>
      </x:c>
      <x:c r="F65" s="84" t="n">
        <x:v>5</x:v>
      </x:c>
      <x:c r="G65" s="136" t="n">
        <x:f>IF(COUNT(B65:F65)=0,"",AVERAGE(B65:F65))</x:f>
        <x:v>4.8</x:v>
      </x:c>
      <x:c r="H65" s="86" t="str">
        <x:v>Useful output.</x:v>
      </x:c>
      <x:c r="I65" s="154"/>
      <x:c r="J65" s="156"/>
      <x:c r="K65" s="156"/>
      <x:c r="L65" s="156"/>
      <x:c r="M65" s="156"/>
      <x:c r="N65" s="156"/>
      <x:c r="O65" s="156"/>
    </x:row>
    <x:row r="66" ht="22" customHeight="1">
      <x:c r="A66" s="84" t="str">
        <x:v>P065</x:v>
      </x:c>
      <x:c r="B66" s="84" t="n">
        <x:v>4</x:v>
      </x:c>
      <x:c r="C66" s="84" t="n">
        <x:v>4</x:v>
      </x:c>
      <x:c r="D66" s="84" t="n">
        <x:v>5</x:v>
      </x:c>
      <x:c r="E66" s="84" t="n">
        <x:v>5</x:v>
      </x:c>
      <x:c r="F66" s="84" t="n">
        <x:v>4</x:v>
      </x:c>
      <x:c r="G66" s="136" t="n">
        <x:f>IF(COUNT(B66:F66)=0,"",AVERAGE(B66:F66))</x:f>
        <x:v>4.4</x:v>
      </x:c>
      <x:c r="H66" s="86" t="str">
        <x:v>Simple workflow.</x:v>
      </x:c>
      <x:c r="I66" s="154"/>
      <x:c r="J66" s="156"/>
      <x:c r="K66" s="156"/>
      <x:c r="L66" s="156"/>
      <x:c r="M66" s="156"/>
      <x:c r="N66" s="156"/>
      <x:c r="O66" s="156"/>
    </x:row>
    <x:row r="67" ht="22" customHeight="1">
      <x:c r="A67" s="84" t="str">
        <x:v>P066</x:v>
      </x:c>
      <x:c r="B67" s="84" t="n">
        <x:v>5</x:v>
      </x:c>
      <x:c r="C67" s="84" t="n">
        <x:v>5</x:v>
      </x:c>
      <x:c r="D67" s="84" t="n">
        <x:v>5</x:v>
      </x:c>
      <x:c r="E67" s="84" t="n">
        <x:v>4</x:v>
      </x:c>
      <x:c r="F67" s="84" t="n">
        <x:v>5</x:v>
      </x:c>
      <x:c r="G67" s="136" t="n">
        <x:f>IF(COUNT(B67:F67)=0,"",AVERAGE(B67:F67))</x:f>
        <x:v>4.8</x:v>
      </x:c>
      <x:c r="H67" s="86" t="str">
        <x:v>Easy to understand.</x:v>
      </x:c>
      <x:c r="I67" s="154"/>
      <x:c r="J67" s="156"/>
      <x:c r="K67" s="156"/>
      <x:c r="L67" s="156"/>
      <x:c r="M67" s="156"/>
      <x:c r="N67" s="156"/>
      <x:c r="O67" s="156"/>
    </x:row>
    <x:row r="68" ht="22" customHeight="1">
      <x:c r="A68" s="84" t="str">
        <x:v>P067</x:v>
      </x:c>
      <x:c r="B68" s="84" t="n">
        <x:v>4</x:v>
      </x:c>
      <x:c r="C68" s="84" t="n">
        <x:v>5</x:v>
      </x:c>
      <x:c r="D68" s="84" t="n">
        <x:v>4</x:v>
      </x:c>
      <x:c r="E68" s="84" t="n">
        <x:v>5</x:v>
      </x:c>
      <x:c r="F68" s="84" t="n">
        <x:v>5</x:v>
      </x:c>
      <x:c r="G68" s="136" t="n">
        <x:f>IF(COUNT(B68:F68)=0,"",AVERAGE(B68:F68))</x:f>
        <x:v>4.6</x:v>
      </x:c>
      <x:c r="H68" s="86" t="str">
        <x:v>Clear result.</x:v>
      </x:c>
      <x:c r="I68" s="154"/>
      <x:c r="J68" s="156"/>
      <x:c r="K68" s="156"/>
      <x:c r="L68" s="156"/>
      <x:c r="M68" s="156"/>
      <x:c r="N68" s="156"/>
      <x:c r="O68" s="156"/>
    </x:row>
    <x:row r="69" ht="22" customHeight="1">
      <x:c r="A69" s="84" t="str">
        <x:v>P068</x:v>
      </x:c>
      <x:c r="B69" s="84" t="n">
        <x:v>5</x:v>
      </x:c>
      <x:c r="C69" s="84" t="n">
        <x:v>4</x:v>
      </x:c>
      <x:c r="D69" s="84" t="n">
        <x:v>5</x:v>
      </x:c>
      <x:c r="E69" s="84" t="n">
        <x:v>4</x:v>
      </x:c>
      <x:c r="F69" s="84" t="n">
        <x:v>5</x:v>
      </x:c>
      <x:c r="G69" s="136" t="n">
        <x:f>IF(COUNT(B69:F69)=0,"",AVERAGE(B69:F69))</x:f>
        <x:v>4.6</x:v>
      </x:c>
      <x:c r="H69" s="86" t="str">
        <x:v>Good layout.</x:v>
      </x:c>
      <x:c r="I69" s="154"/>
      <x:c r="J69" s="156"/>
      <x:c r="K69" s="156"/>
      <x:c r="L69" s="156"/>
      <x:c r="M69" s="156"/>
      <x:c r="N69" s="156"/>
      <x:c r="O69" s="156"/>
    </x:row>
    <x:row r="70" ht="22" customHeight="1">
      <x:c r="A70" s="84" t="str">
        <x:v>P069</x:v>
      </x:c>
      <x:c r="B70" s="84" t="n">
        <x:v>5</x:v>
      </x:c>
      <x:c r="C70" s="84" t="n">
        <x:v>5</x:v>
      </x:c>
      <x:c r="D70" s="84" t="n">
        <x:v>5</x:v>
      </x:c>
      <x:c r="E70" s="84" t="n">
        <x:v>5</x:v>
      </x:c>
      <x:c r="F70" s="84" t="n">
        <x:v>4</x:v>
      </x:c>
      <x:c r="G70" s="136" t="n">
        <x:f>IF(COUNT(B70:F70)=0,"",AVERAGE(B70:F70))</x:f>
        <x:v>4.8</x:v>
      </x:c>
      <x:c r="H70" s="86" t="str">
        <x:v>Relevant prediction.</x:v>
      </x:c>
      <x:c r="I70" s="154"/>
      <x:c r="J70" s="156"/>
      <x:c r="K70" s="156"/>
      <x:c r="L70" s="156"/>
      <x:c r="M70" s="156"/>
      <x:c r="N70" s="156"/>
      <x:c r="O70" s="156"/>
    </x:row>
    <x:row r="71" ht="22" customHeight="1">
      <x:c r="A71" s="84" t="str">
        <x:v>P070</x:v>
      </x:c>
      <x:c r="B71" s="84" t="n">
        <x:v>4</x:v>
      </x:c>
      <x:c r="C71" s="84" t="n">
        <x:v>5</x:v>
      </x:c>
      <x:c r="D71" s="84" t="n">
        <x:v>5</x:v>
      </x:c>
      <x:c r="E71" s="84" t="n">
        <x:v>5</x:v>
      </x:c>
      <x:c r="F71" s="84" t="n">
        <x:v>4</x:v>
      </x:c>
      <x:c r="G71" s="136" t="n">
        <x:f>IF(COUNT(B71:F71)=0,"",AVERAGE(B71:F71))</x:f>
        <x:v>4.6</x:v>
      </x:c>
      <x:c r="H71" s="86" t="str">
        <x:v>Easy navigation.</x:v>
      </x:c>
      <x:c r="I71" s="154"/>
      <x:c r="J71" s="156"/>
      <x:c r="K71" s="156"/>
      <x:c r="L71" s="156"/>
      <x:c r="M71" s="156"/>
      <x:c r="N71" s="156"/>
      <x:c r="O71" s="156"/>
    </x:row>
    <x:row r="72" ht="22" customHeight="1">
      <x:c r="A72" s="84" t="str">
        <x:v>P071</x:v>
      </x:c>
      <x:c r="B72" s="84" t="n">
        <x:v>5</x:v>
      </x:c>
      <x:c r="C72" s="84" t="n">
        <x:v>5</x:v>
      </x:c>
      <x:c r="D72" s="84" t="n">
        <x:v>5</x:v>
      </x:c>
      <x:c r="E72" s="84" t="n">
        <x:v>5</x:v>
      </x:c>
      <x:c r="F72" s="84" t="n">
        <x:v>5</x:v>
      </x:c>
      <x:c r="G72" s="136" t="n">
        <x:f>IF(COUNT(B72:F72)=0,"",AVERAGE(B72:F72))</x:f>
        <x:v>5</x:v>
      </x:c>
      <x:c r="H72" s="86" t="str">
        <x:v>Easy to use.</x:v>
      </x:c>
      <x:c r="I72" s="154"/>
      <x:c r="J72" s="156"/>
      <x:c r="K72" s="156"/>
      <x:c r="L72" s="156"/>
      <x:c r="M72" s="156"/>
      <x:c r="N72" s="156"/>
      <x:c r="O72" s="156"/>
    </x:row>
    <x:row r="73" ht="22" customHeight="1">
      <x:c r="A73" s="84" t="str">
        <x:v>P072</x:v>
      </x:c>
      <x:c r="B73" s="84" t="n">
        <x:v>5</x:v>
      </x:c>
      <x:c r="C73" s="84" t="n">
        <x:v>4</x:v>
      </x:c>
      <x:c r="D73" s="84" t="n">
        <x:v>5</x:v>
      </x:c>
      <x:c r="E73" s="84" t="n">
        <x:v>5</x:v>
      </x:c>
      <x:c r="F73" s="84" t="n">
        <x:v>5</x:v>
      </x:c>
      <x:c r="G73" s="136" t="n">
        <x:f>IF(COUNT(B73:F73)=0,"",AVERAGE(B73:F73))</x:f>
        <x:v>4.8</x:v>
      </x:c>
      <x:c r="H73" s="86" t="str">
        <x:v>Clear prediction.</x:v>
      </x:c>
      <x:c r="I73" s="154"/>
      <x:c r="J73" s="156"/>
      <x:c r="K73" s="156"/>
      <x:c r="L73" s="156"/>
      <x:c r="M73" s="156"/>
      <x:c r="N73" s="156"/>
      <x:c r="O73" s="156"/>
    </x:row>
    <x:row r="74" ht="22" customHeight="1">
      <x:c r="A74" s="84" t="str">
        <x:v>P073</x:v>
      </x:c>
      <x:c r="B74" s="84" t="n">
        <x:v>4</x:v>
      </x:c>
      <x:c r="C74" s="84" t="n">
        <x:v>5</x:v>
      </x:c>
      <x:c r="D74" s="84" t="n">
        <x:v>5</x:v>
      </x:c>
      <x:c r="E74" s="84" t="n">
        <x:v>4</x:v>
      </x:c>
      <x:c r="F74" s="84" t="n">
        <x:v>5</x:v>
      </x:c>
      <x:c r="G74" s="136" t="n">
        <x:f>IF(COUNT(B74:F74)=0,"",AVERAGE(B74:F74))</x:f>
        <x:v>4.6</x:v>
      </x:c>
      <x:c r="H74" s="86" t="str">
        <x:v>Good interface.</x:v>
      </x:c>
      <x:c r="I74" s="154"/>
      <x:c r="J74" s="156"/>
      <x:c r="K74" s="156"/>
      <x:c r="L74" s="156"/>
      <x:c r="M74" s="156"/>
      <x:c r="N74" s="156"/>
      <x:c r="O74" s="156"/>
    </x:row>
    <x:row r="75" ht="22" customHeight="1">
      <x:c r="A75" s="84" t="str">
        <x:v>P074</x:v>
      </x:c>
      <x:c r="B75" s="84" t="n">
        <x:v>5</x:v>
      </x:c>
      <x:c r="C75" s="84" t="n">
        <x:v>5</x:v>
      </x:c>
      <x:c r="D75" s="84" t="n">
        <x:v>4</x:v>
      </x:c>
      <x:c r="E75" s="84" t="n">
        <x:v>5</x:v>
      </x:c>
      <x:c r="F75" s="84" t="n">
        <x:v>5</x:v>
      </x:c>
      <x:c r="G75" s="136" t="n">
        <x:f>IF(COUNT(B75:F75)=0,"",AVERAGE(B75:F75))</x:f>
        <x:v>4.8</x:v>
      </x:c>
      <x:c r="H75" s="86" t="str">
        <x:v>Useful output.</x:v>
      </x:c>
      <x:c r="I75" s="154"/>
      <x:c r="J75" s="156"/>
      <x:c r="K75" s="156"/>
      <x:c r="L75" s="156"/>
      <x:c r="M75" s="156"/>
      <x:c r="N75" s="156"/>
      <x:c r="O75" s="156"/>
    </x:row>
    <x:row r="76" ht="22" customHeight="1">
      <x:c r="A76" s="84" t="str">
        <x:v>P075</x:v>
      </x:c>
      <x:c r="B76" s="84" t="n">
        <x:v>4</x:v>
      </x:c>
      <x:c r="C76" s="84" t="n">
        <x:v>4</x:v>
      </x:c>
      <x:c r="D76" s="84" t="n">
        <x:v>5</x:v>
      </x:c>
      <x:c r="E76" s="84" t="n">
        <x:v>5</x:v>
      </x:c>
      <x:c r="F76" s="84" t="n">
        <x:v>4</x:v>
      </x:c>
      <x:c r="G76" s="136" t="n">
        <x:f>IF(COUNT(B76:F76)=0,"",AVERAGE(B76:F76))</x:f>
        <x:v>4.4</x:v>
      </x:c>
      <x:c r="H76" s="86" t="str">
        <x:v>Simple workflow.</x:v>
      </x:c>
      <x:c r="I76" s="154"/>
      <x:c r="J76" s="156"/>
      <x:c r="K76" s="156"/>
      <x:c r="L76" s="156"/>
      <x:c r="M76" s="156"/>
      <x:c r="N76" s="156"/>
      <x:c r="O76" s="156"/>
    </x:row>
    <x:row r="77" ht="22" customHeight="1">
      <x:c r="A77" s="84" t="str">
        <x:v>P076</x:v>
      </x:c>
      <x:c r="B77" s="84" t="n">
        <x:v>5</x:v>
      </x:c>
      <x:c r="C77" s="84" t="n">
        <x:v>5</x:v>
      </x:c>
      <x:c r="D77" s="84" t="n">
        <x:v>5</x:v>
      </x:c>
      <x:c r="E77" s="84" t="n">
        <x:v>4</x:v>
      </x:c>
      <x:c r="F77" s="84" t="n">
        <x:v>5</x:v>
      </x:c>
      <x:c r="G77" s="136" t="n">
        <x:f>IF(COUNT(B77:F77)=0,"",AVERAGE(B77:F77))</x:f>
        <x:v>4.8</x:v>
      </x:c>
      <x:c r="H77" s="86" t="str">
        <x:v>Easy to understand.</x:v>
      </x:c>
      <x:c r="I77" s="154"/>
      <x:c r="J77" s="156"/>
      <x:c r="K77" s="156"/>
      <x:c r="L77" s="156"/>
      <x:c r="M77" s="156"/>
      <x:c r="N77" s="156"/>
      <x:c r="O77" s="156"/>
    </x:row>
    <x:row r="78" ht="22" customHeight="1">
      <x:c r="A78" s="84" t="str">
        <x:v>P077</x:v>
      </x:c>
      <x:c r="B78" s="84" t="n">
        <x:v>4</x:v>
      </x:c>
      <x:c r="C78" s="84" t="n">
        <x:v>5</x:v>
      </x:c>
      <x:c r="D78" s="84" t="n">
        <x:v>4</x:v>
      </x:c>
      <x:c r="E78" s="84" t="n">
        <x:v>5</x:v>
      </x:c>
      <x:c r="F78" s="84" t="n">
        <x:v>5</x:v>
      </x:c>
      <x:c r="G78" s="136" t="n">
        <x:f>IF(COUNT(B78:F78)=0,"",AVERAGE(B78:F78))</x:f>
        <x:v>4.6</x:v>
      </x:c>
      <x:c r="H78" s="86" t="str">
        <x:v>Clear result.</x:v>
      </x:c>
      <x:c r="I78" s="154"/>
      <x:c r="J78" s="156"/>
      <x:c r="K78" s="156"/>
      <x:c r="L78" s="156"/>
      <x:c r="M78" s="156"/>
      <x:c r="N78" s="156"/>
      <x:c r="O78" s="156"/>
    </x:row>
    <x:row r="79" ht="22" customHeight="1">
      <x:c r="A79" s="84" t="str">
        <x:v>P078</x:v>
      </x:c>
      <x:c r="B79" s="84" t="n">
        <x:v>5</x:v>
      </x:c>
      <x:c r="C79" s="84" t="n">
        <x:v>4</x:v>
      </x:c>
      <x:c r="D79" s="84" t="n">
        <x:v>5</x:v>
      </x:c>
      <x:c r="E79" s="84" t="n">
        <x:v>4</x:v>
      </x:c>
      <x:c r="F79" s="84" t="n">
        <x:v>5</x:v>
      </x:c>
      <x:c r="G79" s="136" t="n">
        <x:f>IF(COUNT(B79:F79)=0,"",AVERAGE(B79:F79))</x:f>
        <x:v>4.6</x:v>
      </x:c>
      <x:c r="H79" s="86" t="str">
        <x:v>Good layout.</x:v>
      </x:c>
      <x:c r="I79" s="154"/>
      <x:c r="J79" s="156"/>
      <x:c r="K79" s="156"/>
      <x:c r="L79" s="156"/>
      <x:c r="M79" s="156"/>
      <x:c r="N79" s="156"/>
      <x:c r="O79" s="156"/>
    </x:row>
    <x:row r="80" ht="22" customHeight="1">
      <x:c r="A80" s="84" t="str">
        <x:v>P079</x:v>
      </x:c>
      <x:c r="B80" s="84" t="n">
        <x:v>5</x:v>
      </x:c>
      <x:c r="C80" s="84" t="n">
        <x:v>5</x:v>
      </x:c>
      <x:c r="D80" s="84" t="n">
        <x:v>5</x:v>
      </x:c>
      <x:c r="E80" s="84" t="n">
        <x:v>5</x:v>
      </x:c>
      <x:c r="F80" s="84" t="n">
        <x:v>4</x:v>
      </x:c>
      <x:c r="G80" s="136" t="n">
        <x:f>IF(COUNT(B80:F80)=0,"",AVERAGE(B80:F80))</x:f>
        <x:v>4.8</x:v>
      </x:c>
      <x:c r="H80" s="86" t="str">
        <x:v>Relevant prediction.</x:v>
      </x:c>
      <x:c r="I80" s="154"/>
      <x:c r="J80" s="156"/>
      <x:c r="K80" s="156"/>
      <x:c r="L80" s="156"/>
      <x:c r="M80" s="156"/>
      <x:c r="N80" s="156"/>
      <x:c r="O80" s="156"/>
    </x:row>
    <x:row r="81" ht="22" customHeight="1">
      <x:c r="A81" s="84" t="str">
        <x:v>P080</x:v>
      </x:c>
      <x:c r="B81" s="84" t="n">
        <x:v>4</x:v>
      </x:c>
      <x:c r="C81" s="84" t="n">
        <x:v>5</x:v>
      </x:c>
      <x:c r="D81" s="84" t="n">
        <x:v>5</x:v>
      </x:c>
      <x:c r="E81" s="84" t="n">
        <x:v>5</x:v>
      </x:c>
      <x:c r="F81" s="84" t="n">
        <x:v>4</x:v>
      </x:c>
      <x:c r="G81" s="136" t="n">
        <x:f>IF(COUNT(B81:F81)=0,"",AVERAGE(B81:F81))</x:f>
        <x:v>4.6</x:v>
      </x:c>
      <x:c r="H81" s="86" t="str">
        <x:v>Easy navigation.</x:v>
      </x:c>
      <x:c r="I81" s="154"/>
      <x:c r="J81" s="156"/>
      <x:c r="K81" s="156"/>
      <x:c r="L81" s="156"/>
      <x:c r="M81" s="156"/>
      <x:c r="N81" s="156"/>
      <x:c r="O81" s="156"/>
    </x:row>
    <x:row r="82" ht="22" customHeight="1">
      <x:c r="A82" s="84" t="str">
        <x:v>P081</x:v>
      </x:c>
      <x:c r="B82" s="84" t="n">
        <x:v>5</x:v>
      </x:c>
      <x:c r="C82" s="84" t="n">
        <x:v>5</x:v>
      </x:c>
      <x:c r="D82" s="84" t="n">
        <x:v>5</x:v>
      </x:c>
      <x:c r="E82" s="84" t="n">
        <x:v>5</x:v>
      </x:c>
      <x:c r="F82" s="84" t="n">
        <x:v>5</x:v>
      </x:c>
      <x:c r="G82" s="136" t="n">
        <x:f>IF(COUNT(B82:F82)=0,"",AVERAGE(B82:F82))</x:f>
        <x:v>5</x:v>
      </x:c>
      <x:c r="H82" s="86" t="str">
        <x:v>Easy to use.</x:v>
      </x:c>
      <x:c r="I82" s="154"/>
      <x:c r="J82" s="156"/>
      <x:c r="K82" s="156"/>
      <x:c r="L82" s="156"/>
      <x:c r="M82" s="156"/>
      <x:c r="N82" s="156"/>
      <x:c r="O82" s="156"/>
    </x:row>
    <x:row r="83" ht="22" customHeight="1">
      <x:c r="A83" s="84" t="str">
        <x:v>P082</x:v>
      </x:c>
      <x:c r="B83" s="84" t="n">
        <x:v>5</x:v>
      </x:c>
      <x:c r="C83" s="84" t="n">
        <x:v>4</x:v>
      </x:c>
      <x:c r="D83" s="84" t="n">
        <x:v>5</x:v>
      </x:c>
      <x:c r="E83" s="84" t="n">
        <x:v>5</x:v>
      </x:c>
      <x:c r="F83" s="84" t="n">
        <x:v>5</x:v>
      </x:c>
      <x:c r="G83" s="136" t="n">
        <x:f>IF(COUNT(B83:F83)=0,"",AVERAGE(B83:F83))</x:f>
        <x:v>4.8</x:v>
      </x:c>
      <x:c r="H83" s="86" t="str">
        <x:v>Clear prediction.</x:v>
      </x:c>
      <x:c r="I83" s="154"/>
      <x:c r="J83" s="156"/>
      <x:c r="K83" s="156"/>
      <x:c r="L83" s="156"/>
      <x:c r="M83" s="156"/>
      <x:c r="N83" s="156"/>
      <x:c r="O83" s="156"/>
    </x:row>
    <x:row r="84" ht="22" customHeight="1">
      <x:c r="A84" s="84" t="str">
        <x:v>P083</x:v>
      </x:c>
      <x:c r="B84" s="84" t="n">
        <x:v>4</x:v>
      </x:c>
      <x:c r="C84" s="84" t="n">
        <x:v>5</x:v>
      </x:c>
      <x:c r="D84" s="84" t="n">
        <x:v>5</x:v>
      </x:c>
      <x:c r="E84" s="84" t="n">
        <x:v>4</x:v>
      </x:c>
      <x:c r="F84" s="84" t="n">
        <x:v>5</x:v>
      </x:c>
      <x:c r="G84" s="136" t="n">
        <x:f>IF(COUNT(B84:F84)=0,"",AVERAGE(B84:F84))</x:f>
        <x:v>4.6</x:v>
      </x:c>
      <x:c r="H84" s="86" t="str">
        <x:v>Good interface.</x:v>
      </x:c>
      <x:c r="I84" s="154"/>
      <x:c r="J84" s="156"/>
      <x:c r="K84" s="156"/>
      <x:c r="L84" s="156"/>
      <x:c r="M84" s="156"/>
      <x:c r="N84" s="156"/>
      <x:c r="O84" s="156"/>
    </x:row>
    <x:row r="85" ht="22" customHeight="1">
      <x:c r="A85" s="84" t="str">
        <x:v>P084</x:v>
      </x:c>
      <x:c r="B85" s="84" t="n">
        <x:v>5</x:v>
      </x:c>
      <x:c r="C85" s="84" t="n">
        <x:v>5</x:v>
      </x:c>
      <x:c r="D85" s="84" t="n">
        <x:v>4</x:v>
      </x:c>
      <x:c r="E85" s="84" t="n">
        <x:v>5</x:v>
      </x:c>
      <x:c r="F85" s="84" t="n">
        <x:v>5</x:v>
      </x:c>
      <x:c r="G85" s="136" t="n">
        <x:f>IF(COUNT(B85:F85)=0,"",AVERAGE(B85:F85))</x:f>
        <x:v>4.8</x:v>
      </x:c>
      <x:c r="H85" s="86" t="str">
        <x:v>Useful output.</x:v>
      </x:c>
      <x:c r="I85" s="154"/>
      <x:c r="J85" s="156"/>
      <x:c r="K85" s="156"/>
      <x:c r="L85" s="156"/>
      <x:c r="M85" s="156"/>
      <x:c r="N85" s="156"/>
      <x:c r="O85" s="156"/>
    </x:row>
    <x:row r="86" ht="22" customHeight="1">
      <x:c r="A86" s="84" t="str">
        <x:v>P085</x:v>
      </x:c>
      <x:c r="B86" s="84" t="n">
        <x:v>4</x:v>
      </x:c>
      <x:c r="C86" s="84" t="n">
        <x:v>4</x:v>
      </x:c>
      <x:c r="D86" s="84" t="n">
        <x:v>5</x:v>
      </x:c>
      <x:c r="E86" s="84" t="n">
        <x:v>5</x:v>
      </x:c>
      <x:c r="F86" s="84" t="n">
        <x:v>4</x:v>
      </x:c>
      <x:c r="G86" s="136" t="n">
        <x:f>IF(COUNT(B86:F86)=0,"",AVERAGE(B86:F86))</x:f>
        <x:v>4.4</x:v>
      </x:c>
      <x:c r="H86" s="86" t="str">
        <x:v>Simple workflow.</x:v>
      </x:c>
      <x:c r="I86" s="154"/>
      <x:c r="J86" s="156"/>
      <x:c r="K86" s="156"/>
      <x:c r="L86" s="156"/>
      <x:c r="M86" s="156"/>
      <x:c r="N86" s="156"/>
      <x:c r="O86" s="156"/>
    </x:row>
    <x:row r="87" ht="22" customHeight="1">
      <x:c r="A87" s="84" t="str">
        <x:v>P086</x:v>
      </x:c>
      <x:c r="B87" s="84" t="n">
        <x:v>5</x:v>
      </x:c>
      <x:c r="C87" s="84" t="n">
        <x:v>5</x:v>
      </x:c>
      <x:c r="D87" s="84" t="n">
        <x:v>5</x:v>
      </x:c>
      <x:c r="E87" s="84" t="n">
        <x:v>4</x:v>
      </x:c>
      <x:c r="F87" s="84" t="n">
        <x:v>5</x:v>
      </x:c>
      <x:c r="G87" s="136" t="n">
        <x:f>IF(COUNT(B87:F87)=0,"",AVERAGE(B87:F87))</x:f>
        <x:v>4.8</x:v>
      </x:c>
      <x:c r="H87" s="86" t="str">
        <x:v>Easy to understand.</x:v>
      </x:c>
      <x:c r="I87" s="154"/>
      <x:c r="J87" s="156"/>
      <x:c r="K87" s="156"/>
      <x:c r="L87" s="156"/>
      <x:c r="M87" s="156"/>
      <x:c r="N87" s="156"/>
      <x:c r="O87" s="156"/>
    </x:row>
    <x:row r="88" ht="22" customHeight="1">
      <x:c r="A88" s="84" t="str">
        <x:v>P087</x:v>
      </x:c>
      <x:c r="B88" s="84" t="n">
        <x:v>4</x:v>
      </x:c>
      <x:c r="C88" s="84" t="n">
        <x:v>5</x:v>
      </x:c>
      <x:c r="D88" s="84" t="n">
        <x:v>4</x:v>
      </x:c>
      <x:c r="E88" s="84" t="n">
        <x:v>5</x:v>
      </x:c>
      <x:c r="F88" s="84" t="n">
        <x:v>5</x:v>
      </x:c>
      <x:c r="G88" s="136" t="n">
        <x:f>IF(COUNT(B88:F88)=0,"",AVERAGE(B88:F88))</x:f>
        <x:v>4.6</x:v>
      </x:c>
      <x:c r="H88" s="86" t="str">
        <x:v>Clear result.</x:v>
      </x:c>
      <x:c r="I88" s="154"/>
      <x:c r="J88" s="156"/>
      <x:c r="K88" s="156"/>
      <x:c r="L88" s="156"/>
      <x:c r="M88" s="156"/>
      <x:c r="N88" s="156"/>
      <x:c r="O88" s="156"/>
    </x:row>
    <x:row r="89" ht="22" customHeight="1">
      <x:c r="A89" s="84" t="str">
        <x:v>P088</x:v>
      </x:c>
      <x:c r="B89" s="84" t="n">
        <x:v>5</x:v>
      </x:c>
      <x:c r="C89" s="84" t="n">
        <x:v>4</x:v>
      </x:c>
      <x:c r="D89" s="84" t="n">
        <x:v>5</x:v>
      </x:c>
      <x:c r="E89" s="84" t="n">
        <x:v>4</x:v>
      </x:c>
      <x:c r="F89" s="84" t="n">
        <x:v>5</x:v>
      </x:c>
      <x:c r="G89" s="136" t="n">
        <x:f>IF(COUNT(B89:F89)=0,"",AVERAGE(B89:F89))</x:f>
        <x:v>4.6</x:v>
      </x:c>
      <x:c r="H89" s="86" t="str">
        <x:v>Good layout.</x:v>
      </x:c>
      <x:c r="I89" s="154"/>
      <x:c r="J89" s="156"/>
      <x:c r="K89" s="156"/>
      <x:c r="L89" s="156"/>
      <x:c r="M89" s="156"/>
      <x:c r="N89" s="156"/>
      <x:c r="O89" s="156"/>
    </x:row>
    <x:row r="90" ht="22" customHeight="1">
      <x:c r="A90" s="84" t="str">
        <x:v>P089</x:v>
      </x:c>
      <x:c r="B90" s="84" t="n">
        <x:v>5</x:v>
      </x:c>
      <x:c r="C90" s="84" t="n">
        <x:v>5</x:v>
      </x:c>
      <x:c r="D90" s="84" t="n">
        <x:v>5</x:v>
      </x:c>
      <x:c r="E90" s="84" t="n">
        <x:v>5</x:v>
      </x:c>
      <x:c r="F90" s="84" t="n">
        <x:v>4</x:v>
      </x:c>
      <x:c r="G90" s="136" t="n">
        <x:f>IF(COUNT(B90:F90)=0,"",AVERAGE(B90:F90))</x:f>
        <x:v>4.8</x:v>
      </x:c>
      <x:c r="H90" s="86" t="str">
        <x:v>Relevant prediction.</x:v>
      </x:c>
      <x:c r="I90" s="154"/>
      <x:c r="J90" s="156"/>
      <x:c r="K90" s="156"/>
      <x:c r="L90" s="156"/>
      <x:c r="M90" s="156"/>
      <x:c r="N90" s="156"/>
      <x:c r="O90" s="156"/>
    </x:row>
    <x:row r="91" ht="22" customHeight="1">
      <x:c r="A91" s="84" t="str">
        <x:v>P090</x:v>
      </x:c>
      <x:c r="B91" s="84" t="n">
        <x:v>4</x:v>
      </x:c>
      <x:c r="C91" s="84" t="n">
        <x:v>5</x:v>
      </x:c>
      <x:c r="D91" s="84" t="n">
        <x:v>5</x:v>
      </x:c>
      <x:c r="E91" s="84" t="n">
        <x:v>5</x:v>
      </x:c>
      <x:c r="F91" s="84" t="n">
        <x:v>4</x:v>
      </x:c>
      <x:c r="G91" s="136" t="n">
        <x:f>IF(COUNT(B91:F91)=0,"",AVERAGE(B91:F91))</x:f>
        <x:v>4.6</x:v>
      </x:c>
      <x:c r="H91" s="86" t="str">
        <x:v>Easy navigation.</x:v>
      </x:c>
      <x:c r="I91" s="154"/>
      <x:c r="J91" s="156"/>
      <x:c r="K91" s="156"/>
      <x:c r="L91" s="156"/>
      <x:c r="M91" s="156"/>
      <x:c r="N91" s="156"/>
      <x:c r="O91" s="156"/>
    </x:row>
    <x:row r="92" ht="22" customHeight="1">
      <x:c r="A92" s="84" t="str">
        <x:v>P091</x:v>
      </x:c>
      <x:c r="B92" s="84" t="n">
        <x:v>5</x:v>
      </x:c>
      <x:c r="C92" s="84" t="n">
        <x:v>5</x:v>
      </x:c>
      <x:c r="D92" s="84" t="n">
        <x:v>5</x:v>
      </x:c>
      <x:c r="E92" s="84" t="n">
        <x:v>5</x:v>
      </x:c>
      <x:c r="F92" s="84" t="n">
        <x:v>5</x:v>
      </x:c>
      <x:c r="G92" s="136" t="n">
        <x:f>IF(COUNT(B92:F92)=0,"",AVERAGE(B92:F92))</x:f>
        <x:v>5</x:v>
      </x:c>
      <x:c r="H92" s="86" t="str">
        <x:v>Easy to use.</x:v>
      </x:c>
      <x:c r="I92" s="154"/>
      <x:c r="J92" s="156"/>
      <x:c r="K92" s="156"/>
      <x:c r="L92" s="156"/>
      <x:c r="M92" s="156"/>
      <x:c r="N92" s="156"/>
      <x:c r="O92" s="156"/>
    </x:row>
    <x:row r="93" ht="22" customHeight="1">
      <x:c r="A93" s="84" t="str">
        <x:v>P092</x:v>
      </x:c>
      <x:c r="B93" s="84" t="n">
        <x:v>5</x:v>
      </x:c>
      <x:c r="C93" s="84" t="n">
        <x:v>4</x:v>
      </x:c>
      <x:c r="D93" s="84" t="n">
        <x:v>5</x:v>
      </x:c>
      <x:c r="E93" s="84" t="n">
        <x:v>5</x:v>
      </x:c>
      <x:c r="F93" s="84" t="n">
        <x:v>5</x:v>
      </x:c>
      <x:c r="G93" s="136" t="n">
        <x:f>IF(COUNT(B93:F93)=0,"",AVERAGE(B93:F93))</x:f>
        <x:v>4.8</x:v>
      </x:c>
      <x:c r="H93" s="86" t="str">
        <x:v>Clear prediction.</x:v>
      </x:c>
      <x:c r="I93" s="154"/>
      <x:c r="J93" s="156"/>
      <x:c r="K93" s="156"/>
      <x:c r="L93" s="156"/>
      <x:c r="M93" s="156"/>
      <x:c r="N93" s="156"/>
      <x:c r="O93" s="156"/>
    </x:row>
    <x:row r="94" ht="22" customHeight="1">
      <x:c r="A94" s="84" t="str">
        <x:v>P093</x:v>
      </x:c>
      <x:c r="B94" s="84" t="n">
        <x:v>4</x:v>
      </x:c>
      <x:c r="C94" s="84" t="n">
        <x:v>5</x:v>
      </x:c>
      <x:c r="D94" s="84" t="n">
        <x:v>5</x:v>
      </x:c>
      <x:c r="E94" s="84" t="n">
        <x:v>4</x:v>
      </x:c>
      <x:c r="F94" s="84" t="n">
        <x:v>5</x:v>
      </x:c>
      <x:c r="G94" s="136" t="n">
        <x:f>IF(COUNT(B94:F94)=0,"",AVERAGE(B94:F94))</x:f>
        <x:v>4.6</x:v>
      </x:c>
      <x:c r="H94" s="86" t="str">
        <x:v>Good interface.</x:v>
      </x:c>
      <x:c r="I94" s="154"/>
      <x:c r="J94" s="156"/>
      <x:c r="K94" s="156"/>
      <x:c r="L94" s="156"/>
      <x:c r="M94" s="156"/>
      <x:c r="N94" s="156"/>
      <x:c r="O94" s="156"/>
    </x:row>
    <x:row r="95" ht="22" customHeight="1">
      <x:c r="A95" s="84" t="str">
        <x:v>P094</x:v>
      </x:c>
      <x:c r="B95" s="84" t="n">
        <x:v>5</x:v>
      </x:c>
      <x:c r="C95" s="84" t="n">
        <x:v>5</x:v>
      </x:c>
      <x:c r="D95" s="84" t="n">
        <x:v>4</x:v>
      </x:c>
      <x:c r="E95" s="84" t="n">
        <x:v>5</x:v>
      </x:c>
      <x:c r="F95" s="84" t="n">
        <x:v>5</x:v>
      </x:c>
      <x:c r="G95" s="136" t="n">
        <x:f>IF(COUNT(B95:F95)=0,"",AVERAGE(B95:F95))</x:f>
        <x:v>4.8</x:v>
      </x:c>
      <x:c r="H95" s="86" t="str">
        <x:v>Useful output.</x:v>
      </x:c>
      <x:c r="I95" s="154"/>
      <x:c r="J95" s="156"/>
      <x:c r="K95" s="156"/>
      <x:c r="L95" s="156"/>
      <x:c r="M95" s="156"/>
      <x:c r="N95" s="156"/>
      <x:c r="O95" s="156"/>
    </x:row>
    <x:row r="96" ht="22" customHeight="1">
      <x:c r="A96" s="84" t="str">
        <x:v>P095</x:v>
      </x:c>
      <x:c r="B96" s="84" t="n">
        <x:v>4</x:v>
      </x:c>
      <x:c r="C96" s="84" t="n">
        <x:v>4</x:v>
      </x:c>
      <x:c r="D96" s="84" t="n">
        <x:v>5</x:v>
      </x:c>
      <x:c r="E96" s="84" t="n">
        <x:v>5</x:v>
      </x:c>
      <x:c r="F96" s="84" t="n">
        <x:v>4</x:v>
      </x:c>
      <x:c r="G96" s="136" t="n">
        <x:f>IF(COUNT(B96:F96)=0,"",AVERAGE(B96:F96))</x:f>
        <x:v>4.4</x:v>
      </x:c>
      <x:c r="H96" s="86" t="str">
        <x:v>Simple workflow.</x:v>
      </x:c>
      <x:c r="I96" s="154"/>
      <x:c r="J96" s="156"/>
      <x:c r="K96" s="156"/>
      <x:c r="L96" s="156"/>
      <x:c r="M96" s="156"/>
      <x:c r="N96" s="156"/>
      <x:c r="O96" s="156"/>
    </x:row>
    <x:row r="97" ht="22" customHeight="1">
      <x:c r="A97" s="84" t="str">
        <x:v>P096</x:v>
      </x:c>
      <x:c r="B97" s="84" t="n">
        <x:v>5</x:v>
      </x:c>
      <x:c r="C97" s="84" t="n">
        <x:v>5</x:v>
      </x:c>
      <x:c r="D97" s="84" t="n">
        <x:v>5</x:v>
      </x:c>
      <x:c r="E97" s="84" t="n">
        <x:v>4</x:v>
      </x:c>
      <x:c r="F97" s="84" t="n">
        <x:v>5</x:v>
      </x:c>
      <x:c r="G97" s="136" t="n">
        <x:f>IF(COUNT(B97:F97)=0,"",AVERAGE(B97:F97))</x:f>
        <x:v>4.8</x:v>
      </x:c>
      <x:c r="H97" s="86" t="str">
        <x:v>Easy to understand.</x:v>
      </x:c>
      <x:c r="I97" s="154"/>
      <x:c r="J97" s="156"/>
      <x:c r="K97" s="156"/>
      <x:c r="L97" s="156"/>
      <x:c r="M97" s="156"/>
      <x:c r="N97" s="156"/>
      <x:c r="O97" s="156"/>
    </x:row>
    <x:row r="98" ht="22" customHeight="1">
      <x:c r="A98" s="84" t="str">
        <x:v>P097</x:v>
      </x:c>
      <x:c r="B98" s="84" t="n">
        <x:v>4</x:v>
      </x:c>
      <x:c r="C98" s="84" t="n">
        <x:v>5</x:v>
      </x:c>
      <x:c r="D98" s="84" t="n">
        <x:v>4</x:v>
      </x:c>
      <x:c r="E98" s="84" t="n">
        <x:v>5</x:v>
      </x:c>
      <x:c r="F98" s="84" t="n">
        <x:v>5</x:v>
      </x:c>
      <x:c r="G98" s="136" t="n">
        <x:f>IF(COUNT(B98:F98)=0,"",AVERAGE(B98:F98))</x:f>
        <x:v>4.6</x:v>
      </x:c>
      <x:c r="H98" s="86" t="str">
        <x:v>Clear result.</x:v>
      </x:c>
      <x:c r="I98" s="154"/>
      <x:c r="J98" s="156"/>
      <x:c r="K98" s="156"/>
      <x:c r="L98" s="156"/>
      <x:c r="M98" s="156"/>
      <x:c r="N98" s="156"/>
      <x:c r="O98" s="156"/>
    </x:row>
    <x:row r="99" ht="22" customHeight="1">
      <x:c r="A99" s="84" t="str">
        <x:v>P098</x:v>
      </x:c>
      <x:c r="B99" s="84" t="n">
        <x:v>5</x:v>
      </x:c>
      <x:c r="C99" s="84" t="n">
        <x:v>4</x:v>
      </x:c>
      <x:c r="D99" s="84" t="n">
        <x:v>5</x:v>
      </x:c>
      <x:c r="E99" s="84" t="n">
        <x:v>4</x:v>
      </x:c>
      <x:c r="F99" s="84" t="n">
        <x:v>5</x:v>
      </x:c>
      <x:c r="G99" s="136" t="n">
        <x:f>IF(COUNT(B99:F99)=0,"",AVERAGE(B99:F99))</x:f>
        <x:v>4.6</x:v>
      </x:c>
      <x:c r="H99" s="86" t="str">
        <x:v>Good layout.</x:v>
      </x:c>
      <x:c r="I99" s="154"/>
      <x:c r="J99" s="156"/>
      <x:c r="K99" s="156"/>
      <x:c r="L99" s="156"/>
      <x:c r="M99" s="156"/>
      <x:c r="N99" s="156"/>
      <x:c r="O99" s="156"/>
    </x:row>
    <x:row r="100" ht="22" customHeight="1">
      <x:c r="A100" s="84" t="str">
        <x:v>P099</x:v>
      </x:c>
      <x:c r="B100" s="84" t="n">
        <x:v>5</x:v>
      </x:c>
      <x:c r="C100" s="84" t="n">
        <x:v>5</x:v>
      </x:c>
      <x:c r="D100" s="84" t="n">
        <x:v>5</x:v>
      </x:c>
      <x:c r="E100" s="84" t="n">
        <x:v>5</x:v>
      </x:c>
      <x:c r="F100" s="84" t="n">
        <x:v>4</x:v>
      </x:c>
      <x:c r="G100" s="136" t="n">
        <x:f>IF(COUNT(B100:F100)=0,"",AVERAGE(B100:F100))</x:f>
        <x:v>4.8</x:v>
      </x:c>
      <x:c r="H100" s="86" t="str">
        <x:v>Relevant prediction.</x:v>
      </x:c>
      <x:c r="I100" s="154"/>
      <x:c r="J100" s="156"/>
      <x:c r="K100" s="156"/>
      <x:c r="L100" s="156"/>
      <x:c r="M100" s="156"/>
      <x:c r="N100" s="156"/>
      <x:c r="O100" s="156"/>
    </x:row>
    <x:row r="101" ht="22" customHeight="1">
      <x:c r="A101" s="84" t="str">
        <x:v>P100</x:v>
      </x:c>
      <x:c r="B101" s="84" t="n">
        <x:v>4</x:v>
      </x:c>
      <x:c r="C101" s="84" t="n">
        <x:v>5</x:v>
      </x:c>
      <x:c r="D101" s="84" t="n">
        <x:v>5</x:v>
      </x:c>
      <x:c r="E101" s="84" t="n">
        <x:v>5</x:v>
      </x:c>
      <x:c r="F101" s="84" t="n">
        <x:v>4</x:v>
      </x:c>
      <x:c r="G101" s="136" t="n">
        <x:f>IF(COUNT(B101:F101)=0,"",AVERAGE(B101:F101))</x:f>
        <x:v>4.6</x:v>
      </x:c>
      <x:c r="H101" s="86" t="str">
        <x:v>Easy navigation.</x:v>
      </x:c>
      <x:c r="I101" s="154"/>
      <x:c r="J101" s="156"/>
      <x:c r="K101" s="156"/>
      <x:c r="L101" s="156"/>
      <x:c r="M101" s="156"/>
      <x:c r="N101" s="156"/>
      <x:c r="O101" s="156"/>
    </x:row>
    <x:row r="102" ht="22" customHeight="1">
      <x:c r="A102" s="84" t="str">
        <x:v>P101</x:v>
      </x:c>
      <x:c r="B102" s="84" t="n">
        <x:v>5</x:v>
      </x:c>
      <x:c r="C102" s="84" t="n">
        <x:v>5</x:v>
      </x:c>
      <x:c r="D102" s="84" t="n">
        <x:v>5</x:v>
      </x:c>
      <x:c r="E102" s="84" t="n">
        <x:v>5</x:v>
      </x:c>
      <x:c r="F102" s="84" t="n">
        <x:v>5</x:v>
      </x:c>
      <x:c r="G102" s="136" t="n">
        <x:f>IF(COUNT(B102:F102)=0,"",AVERAGE(B102:F102))</x:f>
        <x:v>5</x:v>
      </x:c>
      <x:c r="H102" s="86" t="str">
        <x:v>Easy to use.</x:v>
      </x:c>
      <x:c r="I102" s="154"/>
      <x:c r="J102" s="156"/>
      <x:c r="K102" s="156"/>
      <x:c r="L102" s="156"/>
      <x:c r="M102" s="156"/>
      <x:c r="N102" s="156"/>
      <x:c r="O102" s="156"/>
    </x:row>
    <x:row r="103" ht="22" customHeight="1">
      <x:c r="A103" s="84" t="str">
        <x:v>P102</x:v>
      </x:c>
      <x:c r="B103" s="84" t="n">
        <x:v>5</x:v>
      </x:c>
      <x:c r="C103" s="84" t="n">
        <x:v>4</x:v>
      </x:c>
      <x:c r="D103" s="84" t="n">
        <x:v>5</x:v>
      </x:c>
      <x:c r="E103" s="84" t="n">
        <x:v>5</x:v>
      </x:c>
      <x:c r="F103" s="84" t="n">
        <x:v>5</x:v>
      </x:c>
      <x:c r="G103" s="136" t="n">
        <x:f>IF(COUNT(B103:F103)=0,"",AVERAGE(B103:F103))</x:f>
        <x:v>4.8</x:v>
      </x:c>
      <x:c r="H103" s="86" t="str">
        <x:v>Clear prediction.</x:v>
      </x:c>
      <x:c r="I103" s="154"/>
      <x:c r="J103" s="156"/>
      <x:c r="K103" s="156"/>
      <x:c r="L103" s="156"/>
      <x:c r="M103" s="156"/>
      <x:c r="N103" s="156"/>
      <x:c r="O103" s="156"/>
    </x:row>
    <x:row r="104" ht="22" customHeight="1">
      <x:c r="A104" s="84" t="str">
        <x:v>P103</x:v>
      </x:c>
      <x:c r="B104" s="84" t="n">
        <x:v>4</x:v>
      </x:c>
      <x:c r="C104" s="84" t="n">
        <x:v>5</x:v>
      </x:c>
      <x:c r="D104" s="84" t="n">
        <x:v>5</x:v>
      </x:c>
      <x:c r="E104" s="84" t="n">
        <x:v>4</x:v>
      </x:c>
      <x:c r="F104" s="84" t="n">
        <x:v>5</x:v>
      </x:c>
      <x:c r="G104" s="136" t="n">
        <x:f>IF(COUNT(B104:F104)=0,"",AVERAGE(B104:F104))</x:f>
        <x:v>4.6</x:v>
      </x:c>
      <x:c r="H104" s="86" t="str">
        <x:v>Good interface.</x:v>
      </x:c>
      <x:c r="I104" s="154"/>
      <x:c r="J104" s="156"/>
      <x:c r="K104" s="156"/>
      <x:c r="L104" s="156"/>
      <x:c r="M104" s="156"/>
      <x:c r="N104" s="156"/>
      <x:c r="O104" s="156"/>
    </x:row>
    <x:row r="105" ht="22" customHeight="1">
      <x:c r="A105" s="84" t="str">
        <x:v>P104</x:v>
      </x:c>
      <x:c r="B105" s="84" t="n">
        <x:v>5</x:v>
      </x:c>
      <x:c r="C105" s="84" t="n">
        <x:v>5</x:v>
      </x:c>
      <x:c r="D105" s="84" t="n">
        <x:v>4</x:v>
      </x:c>
      <x:c r="E105" s="84" t="n">
        <x:v>5</x:v>
      </x:c>
      <x:c r="F105" s="84" t="n">
        <x:v>5</x:v>
      </x:c>
      <x:c r="G105" s="136" t="n">
        <x:f>IF(COUNT(B105:F105)=0,"",AVERAGE(B105:F105))</x:f>
        <x:v>4.8</x:v>
      </x:c>
      <x:c r="H105" s="86" t="str">
        <x:v>Useful output.</x:v>
      </x:c>
      <x:c r="I105" s="154"/>
      <x:c r="J105" s="156"/>
      <x:c r="K105" s="156"/>
      <x:c r="L105" s="156"/>
      <x:c r="M105" s="156"/>
      <x:c r="N105" s="156"/>
      <x:c r="O105" s="156"/>
    </x:row>
    <x:row r="106" ht="22" customHeight="1">
      <x:c r="A106" s="84" t="str">
        <x:v>P105</x:v>
      </x:c>
      <x:c r="B106" s="84" t="n">
        <x:v>4</x:v>
      </x:c>
      <x:c r="C106" s="84" t="n">
        <x:v>4</x:v>
      </x:c>
      <x:c r="D106" s="84" t="n">
        <x:v>5</x:v>
      </x:c>
      <x:c r="E106" s="84" t="n">
        <x:v>5</x:v>
      </x:c>
      <x:c r="F106" s="84" t="n">
        <x:v>4</x:v>
      </x:c>
      <x:c r="G106" s="136" t="n">
        <x:f>IF(COUNT(B106:F106)=0,"",AVERAGE(B106:F106))</x:f>
        <x:v>4.4</x:v>
      </x:c>
      <x:c r="H106" s="86" t="str">
        <x:v>Simple workflow.</x:v>
      </x:c>
      <x:c r="I106" s="154"/>
      <x:c r="J106" s="156"/>
      <x:c r="K106" s="156"/>
      <x:c r="L106" s="156"/>
      <x:c r="M106" s="156"/>
      <x:c r="N106" s="156"/>
      <x:c r="O106" s="156"/>
    </x:row>
    <x:row r="107" ht="22" customHeight="1">
      <x:c r="A107" s="84" t="str">
        <x:v>P106</x:v>
      </x:c>
      <x:c r="B107" s="84" t="n">
        <x:v>5</x:v>
      </x:c>
      <x:c r="C107" s="84" t="n">
        <x:v>5</x:v>
      </x:c>
      <x:c r="D107" s="84" t="n">
        <x:v>5</x:v>
      </x:c>
      <x:c r="E107" s="84" t="n">
        <x:v>4</x:v>
      </x:c>
      <x:c r="F107" s="84" t="n">
        <x:v>5</x:v>
      </x:c>
      <x:c r="G107" s="136" t="n">
        <x:f>IF(COUNT(B107:F107)=0,"",AVERAGE(B107:F107))</x:f>
        <x:v>4.8</x:v>
      </x:c>
      <x:c r="H107" s="86" t="str">
        <x:v>Easy to understand.</x:v>
      </x:c>
      <x:c r="I107" s="154"/>
      <x:c r="J107" s="156"/>
      <x:c r="K107" s="156"/>
      <x:c r="L107" s="156"/>
      <x:c r="M107" s="156"/>
      <x:c r="N107" s="156"/>
      <x:c r="O107" s="156"/>
    </x:row>
    <x:row r="108" ht="22" customHeight="1">
      <x:c r="A108" s="84" t="str">
        <x:v>P107</x:v>
      </x:c>
      <x:c r="B108" s="84" t="n">
        <x:v>4</x:v>
      </x:c>
      <x:c r="C108" s="84" t="n">
        <x:v>5</x:v>
      </x:c>
      <x:c r="D108" s="84" t="n">
        <x:v>4</x:v>
      </x:c>
      <x:c r="E108" s="84" t="n">
        <x:v>5</x:v>
      </x:c>
      <x:c r="F108" s="84" t="n">
        <x:v>5</x:v>
      </x:c>
      <x:c r="G108" s="136" t="n">
        <x:f>IF(COUNT(B108:F108)=0,"",AVERAGE(B108:F108))</x:f>
        <x:v>4.6</x:v>
      </x:c>
      <x:c r="H108" s="86" t="str">
        <x:v>Clear result.</x:v>
      </x:c>
      <x:c r="I108" s="154"/>
      <x:c r="J108" s="156"/>
      <x:c r="K108" s="156"/>
      <x:c r="L108" s="156"/>
      <x:c r="M108" s="156"/>
      <x:c r="N108" s="156"/>
      <x:c r="O108" s="156"/>
    </x:row>
    <x:row r="109" ht="22" customHeight="1">
      <x:c r="A109" s="84" t="str">
        <x:v>P108</x:v>
      </x:c>
      <x:c r="B109" s="84" t="n">
        <x:v>5</x:v>
      </x:c>
      <x:c r="C109" s="84" t="n">
        <x:v>4</x:v>
      </x:c>
      <x:c r="D109" s="84" t="n">
        <x:v>5</x:v>
      </x:c>
      <x:c r="E109" s="84" t="n">
        <x:v>4</x:v>
      </x:c>
      <x:c r="F109" s="84" t="n">
        <x:v>5</x:v>
      </x:c>
      <x:c r="G109" s="136" t="n">
        <x:f>IF(COUNT(B109:F109)=0,"",AVERAGE(B109:F109))</x:f>
        <x:v>4.6</x:v>
      </x:c>
      <x:c r="H109" s="86" t="str">
        <x:v>Good layout.</x:v>
      </x:c>
      <x:c r="I109" s="154"/>
      <x:c r="J109" s="156"/>
      <x:c r="K109" s="156"/>
      <x:c r="L109" s="156"/>
      <x:c r="M109" s="156"/>
      <x:c r="N109" s="156"/>
      <x:c r="O109" s="156"/>
    </x:row>
    <x:row r="110" ht="22" customHeight="1">
      <x:c r="A110" s="84" t="str">
        <x:v>P109</x:v>
      </x:c>
      <x:c r="B110" s="84" t="n">
        <x:v>5</x:v>
      </x:c>
      <x:c r="C110" s="84" t="n">
        <x:v>5</x:v>
      </x:c>
      <x:c r="D110" s="84" t="n">
        <x:v>5</x:v>
      </x:c>
      <x:c r="E110" s="84" t="n">
        <x:v>5</x:v>
      </x:c>
      <x:c r="F110" s="84" t="n">
        <x:v>4</x:v>
      </x:c>
      <x:c r="G110" s="136" t="n">
        <x:f>IF(COUNT(B110:F110)=0,"",AVERAGE(B110:F110))</x:f>
        <x:v>4.8</x:v>
      </x:c>
      <x:c r="H110" s="86" t="str">
        <x:v>Relevant prediction.</x:v>
      </x:c>
      <x:c r="I110" s="154"/>
      <x:c r="J110" s="156"/>
      <x:c r="K110" s="156"/>
      <x:c r="L110" s="156"/>
      <x:c r="M110" s="156"/>
      <x:c r="N110" s="156"/>
      <x:c r="O110" s="156"/>
    </x:row>
    <x:row r="111" ht="22" customHeight="1">
      <x:c r="A111" s="84" t="str">
        <x:v>P110</x:v>
      </x:c>
      <x:c r="B111" s="84" t="n">
        <x:v>4</x:v>
      </x:c>
      <x:c r="C111" s="84" t="n">
        <x:v>5</x:v>
      </x:c>
      <x:c r="D111" s="84" t="n">
        <x:v>5</x:v>
      </x:c>
      <x:c r="E111" s="84" t="n">
        <x:v>5</x:v>
      </x:c>
      <x:c r="F111" s="84" t="n">
        <x:v>4</x:v>
      </x:c>
      <x:c r="G111" s="136" t="n">
        <x:f>IF(COUNT(B111:F111)=0,"",AVERAGE(B111:F111))</x:f>
        <x:v>4.6</x:v>
      </x:c>
      <x:c r="H111" s="86" t="str">
        <x:v>Easy navigation.</x:v>
      </x:c>
      <x:c r="I111" s="154"/>
      <x:c r="J111" s="156"/>
      <x:c r="K111" s="156"/>
      <x:c r="L111" s="156"/>
      <x:c r="M111" s="156"/>
      <x:c r="N111" s="156"/>
      <x:c r="O111" s="156"/>
    </x:row>
    <x:row r="112" ht="22" customHeight="1">
      <x:c r="A112" s="84" t="str">
        <x:v>P111</x:v>
      </x:c>
      <x:c r="B112" s="84" t="n">
        <x:v>5</x:v>
      </x:c>
      <x:c r="C112" s="84" t="n">
        <x:v>5</x:v>
      </x:c>
      <x:c r="D112" s="84" t="n">
        <x:v>5</x:v>
      </x:c>
      <x:c r="E112" s="84" t="n">
        <x:v>5</x:v>
      </x:c>
      <x:c r="F112" s="84" t="n">
        <x:v>5</x:v>
      </x:c>
      <x:c r="G112" s="136" t="n">
        <x:f>IF(COUNT(B112:F112)=0,"",AVERAGE(B112:F112))</x:f>
        <x:v>5</x:v>
      </x:c>
      <x:c r="H112" s="86" t="str">
        <x:v>Easy to use.</x:v>
      </x:c>
      <x:c r="I112" s="154"/>
      <x:c r="J112" s="156"/>
      <x:c r="K112" s="156"/>
      <x:c r="L112" s="156"/>
      <x:c r="M112" s="156"/>
      <x:c r="N112" s="156"/>
      <x:c r="O112" s="156"/>
    </x:row>
    <x:row r="113" ht="22" customHeight="1">
      <x:c r="A113" s="84" t="str">
        <x:v>P112</x:v>
      </x:c>
      <x:c r="B113" s="84" t="n">
        <x:v>5</x:v>
      </x:c>
      <x:c r="C113" s="84" t="n">
        <x:v>4</x:v>
      </x:c>
      <x:c r="D113" s="84" t="n">
        <x:v>5</x:v>
      </x:c>
      <x:c r="E113" s="84" t="n">
        <x:v>5</x:v>
      </x:c>
      <x:c r="F113" s="84" t="n">
        <x:v>5</x:v>
      </x:c>
      <x:c r="G113" s="136" t="n">
        <x:f>IF(COUNT(B113:F113)=0,"",AVERAGE(B113:F113))</x:f>
        <x:v>4.8</x:v>
      </x:c>
      <x:c r="H113" s="86" t="str">
        <x:v>Clear prediction.</x:v>
      </x:c>
      <x:c r="I113" s="154"/>
      <x:c r="J113" s="156"/>
      <x:c r="K113" s="156"/>
      <x:c r="L113" s="156"/>
      <x:c r="M113" s="156"/>
      <x:c r="N113" s="156"/>
      <x:c r="O113" s="156"/>
    </x:row>
    <x:row r="114" ht="22" customHeight="1">
      <x:c r="A114" s="84" t="str">
        <x:v>P113</x:v>
      </x:c>
      <x:c r="B114" s="84" t="n">
        <x:v>4</x:v>
      </x:c>
      <x:c r="C114" s="84" t="n">
        <x:v>5</x:v>
      </x:c>
      <x:c r="D114" s="84" t="n">
        <x:v>5</x:v>
      </x:c>
      <x:c r="E114" s="84" t="n">
        <x:v>4</x:v>
      </x:c>
      <x:c r="F114" s="84" t="n">
        <x:v>5</x:v>
      </x:c>
      <x:c r="G114" s="136" t="n">
        <x:f>IF(COUNT(B114:F114)=0,"",AVERAGE(B114:F114))</x:f>
        <x:v>4.6</x:v>
      </x:c>
      <x:c r="H114" s="86" t="str">
        <x:v>Good interface.</x:v>
      </x:c>
      <x:c r="I114" s="154"/>
      <x:c r="J114" s="156"/>
      <x:c r="K114" s="156"/>
      <x:c r="L114" s="156"/>
      <x:c r="M114" s="156"/>
      <x:c r="N114" s="156"/>
      <x:c r="O114" s="156"/>
    </x:row>
    <x:row r="115" ht="22" customHeight="1">
      <x:c r="A115" s="84" t="str">
        <x:v>P114</x:v>
      </x:c>
      <x:c r="B115" s="84" t="n">
        <x:v>5</x:v>
      </x:c>
      <x:c r="C115" s="84" t="n">
        <x:v>5</x:v>
      </x:c>
      <x:c r="D115" s="84" t="n">
        <x:v>4</x:v>
      </x:c>
      <x:c r="E115" s="84" t="n">
        <x:v>5</x:v>
      </x:c>
      <x:c r="F115" s="84" t="n">
        <x:v>5</x:v>
      </x:c>
      <x:c r="G115" s="136" t="n">
        <x:f>IF(COUNT(B115:F115)=0,"",AVERAGE(B115:F115))</x:f>
        <x:v>4.8</x:v>
      </x:c>
      <x:c r="H115" s="86" t="str">
        <x:v>Useful output.</x:v>
      </x:c>
      <x:c r="I115" s="154"/>
      <x:c r="J115" s="156"/>
      <x:c r="K115" s="156"/>
      <x:c r="L115" s="156"/>
      <x:c r="M115" s="156"/>
      <x:c r="N115" s="156"/>
      <x:c r="O115" s="156"/>
    </x:row>
    <x:row r="116" ht="22" customHeight="1">
      <x:c r="A116" s="84" t="str">
        <x:v>P115</x:v>
      </x:c>
      <x:c r="B116" s="84" t="n">
        <x:v>4</x:v>
      </x:c>
      <x:c r="C116" s="84" t="n">
        <x:v>4</x:v>
      </x:c>
      <x:c r="D116" s="84" t="n">
        <x:v>5</x:v>
      </x:c>
      <x:c r="E116" s="84" t="n">
        <x:v>5</x:v>
      </x:c>
      <x:c r="F116" s="84" t="n">
        <x:v>4</x:v>
      </x:c>
      <x:c r="G116" s="136" t="n">
        <x:f>IF(COUNT(B116:F116)=0,"",AVERAGE(B116:F116))</x:f>
        <x:v>4.4</x:v>
      </x:c>
      <x:c r="H116" s="86" t="str">
        <x:v>Simple workflow.</x:v>
      </x:c>
      <x:c r="I116" s="154"/>
      <x:c r="J116" s="156"/>
      <x:c r="K116" s="156"/>
      <x:c r="L116" s="156"/>
      <x:c r="M116" s="156"/>
      <x:c r="N116" s="156"/>
      <x:c r="O116" s="156"/>
    </x:row>
    <x:row r="117" ht="22" customHeight="1">
      <x:c r="A117" s="84" t="str">
        <x:v>P116</x:v>
      </x:c>
      <x:c r="B117" s="84" t="n">
        <x:v>5</x:v>
      </x:c>
      <x:c r="C117" s="84" t="n">
        <x:v>5</x:v>
      </x:c>
      <x:c r="D117" s="84" t="n">
        <x:v>5</x:v>
      </x:c>
      <x:c r="E117" s="84" t="n">
        <x:v>4</x:v>
      </x:c>
      <x:c r="F117" s="84" t="n">
        <x:v>5</x:v>
      </x:c>
      <x:c r="G117" s="136" t="n">
        <x:f>IF(COUNT(B117:F117)=0,"",AVERAGE(B117:F117))</x:f>
        <x:v>4.8</x:v>
      </x:c>
      <x:c r="H117" s="86" t="str">
        <x:v>Easy to understand.</x:v>
      </x:c>
      <x:c r="I117" s="154"/>
      <x:c r="J117" s="156"/>
      <x:c r="K117" s="156"/>
      <x:c r="L117" s="156"/>
      <x:c r="M117" s="156"/>
      <x:c r="N117" s="156"/>
      <x:c r="O117" s="156"/>
    </x:row>
    <x:row r="118" ht="22" customHeight="1">
      <x:c r="A118" s="84" t="str">
        <x:v>P117</x:v>
      </x:c>
      <x:c r="B118" s="84" t="n">
        <x:v>4</x:v>
      </x:c>
      <x:c r="C118" s="84" t="n">
        <x:v>5</x:v>
      </x:c>
      <x:c r="D118" s="84" t="n">
        <x:v>4</x:v>
      </x:c>
      <x:c r="E118" s="84" t="n">
        <x:v>5</x:v>
      </x:c>
      <x:c r="F118" s="84" t="n">
        <x:v>5</x:v>
      </x:c>
      <x:c r="G118" s="136" t="n">
        <x:f>IF(COUNT(B118:F118)=0,"",AVERAGE(B118:F118))</x:f>
        <x:v>4.6</x:v>
      </x:c>
      <x:c r="H118" s="86" t="str">
        <x:v>Clear result.</x:v>
      </x:c>
      <x:c r="I118" s="154"/>
      <x:c r="J118" s="156"/>
      <x:c r="K118" s="156"/>
      <x:c r="L118" s="156"/>
      <x:c r="M118" s="156"/>
      <x:c r="N118" s="156"/>
      <x:c r="O118" s="156"/>
    </x:row>
    <x:row r="119" ht="22" customHeight="1">
      <x:c r="A119" s="84" t="str">
        <x:v>P118</x:v>
      </x:c>
      <x:c r="B119" s="84" t="n">
        <x:v>5</x:v>
      </x:c>
      <x:c r="C119" s="84" t="n">
        <x:v>4</x:v>
      </x:c>
      <x:c r="D119" s="84" t="n">
        <x:v>5</x:v>
      </x:c>
      <x:c r="E119" s="84" t="n">
        <x:v>4</x:v>
      </x:c>
      <x:c r="F119" s="84" t="n">
        <x:v>5</x:v>
      </x:c>
      <x:c r="G119" s="136" t="n">
        <x:f>IF(COUNT(B119:F119)=0,"",AVERAGE(B119:F119))</x:f>
        <x:v>4.6</x:v>
      </x:c>
      <x:c r="H119" s="86" t="str">
        <x:v>Good layout.</x:v>
      </x:c>
      <x:c r="I119" s="154"/>
      <x:c r="J119" s="156"/>
      <x:c r="K119" s="156"/>
      <x:c r="L119" s="156"/>
      <x:c r="M119" s="156"/>
      <x:c r="N119" s="156"/>
      <x:c r="O119" s="156"/>
    </x:row>
    <x:row r="120" ht="22" customHeight="1">
      <x:c r="A120" s="84" t="str">
        <x:v>P119</x:v>
      </x:c>
      <x:c r="B120" s="84" t="n">
        <x:v>5</x:v>
      </x:c>
      <x:c r="C120" s="84" t="n">
        <x:v>5</x:v>
      </x:c>
      <x:c r="D120" s="84" t="n">
        <x:v>5</x:v>
      </x:c>
      <x:c r="E120" s="84" t="n">
        <x:v>5</x:v>
      </x:c>
      <x:c r="F120" s="84" t="n">
        <x:v>4</x:v>
      </x:c>
      <x:c r="G120" s="136" t="n">
        <x:f>IF(COUNT(B120:F120)=0,"",AVERAGE(B120:F120))</x:f>
        <x:v>4.8</x:v>
      </x:c>
      <x:c r="H120" s="86" t="str">
        <x:v>Relevant prediction.</x:v>
      </x:c>
      <x:c r="I120" s="154"/>
      <x:c r="J120" s="156"/>
      <x:c r="K120" s="156"/>
      <x:c r="L120" s="156"/>
      <x:c r="M120" s="156"/>
      <x:c r="N120" s="156"/>
      <x:c r="O120" s="156"/>
    </x:row>
    <x:row r="121" ht="22" customHeight="1">
      <x:c r="A121" s="84" t="str">
        <x:v>P120</x:v>
      </x:c>
      <x:c r="B121" s="84" t="n">
        <x:v>4</x:v>
      </x:c>
      <x:c r="C121" s="84" t="n">
        <x:v>5</x:v>
      </x:c>
      <x:c r="D121" s="84" t="n">
        <x:v>5</x:v>
      </x:c>
      <x:c r="E121" s="84" t="n">
        <x:v>5</x:v>
      </x:c>
      <x:c r="F121" s="84" t="n">
        <x:v>4</x:v>
      </x:c>
      <x:c r="G121" s="136" t="n">
        <x:f>IF(COUNT(B121:F121)=0,"",AVERAGE(B121:F121))</x:f>
        <x:v>4.6</x:v>
      </x:c>
      <x:c r="H121" s="86" t="str">
        <x:v>Easy navigation.</x:v>
      </x:c>
      <x:c r="I121" s="154"/>
      <x:c r="J121" s="156"/>
      <x:c r="K121" s="156"/>
      <x:c r="L121" s="156"/>
      <x:c r="M121" s="156"/>
      <x:c r="N121" s="156"/>
      <x:c r="O121" s="156"/>
    </x:row>
    <x:row r="122" ht="22" customHeight="1">
      <x:c r="A122" s="84" t="str">
        <x:v>P121</x:v>
      </x:c>
      <x:c r="B122" s="84" t="n">
        <x:v>5</x:v>
      </x:c>
      <x:c r="C122" s="84" t="n">
        <x:v>5</x:v>
      </x:c>
      <x:c r="D122" s="84" t="n">
        <x:v>5</x:v>
      </x:c>
      <x:c r="E122" s="84" t="n">
        <x:v>5</x:v>
      </x:c>
      <x:c r="F122" s="84" t="n">
        <x:v>5</x:v>
      </x:c>
      <x:c r="G122" s="136" t="n">
        <x:f>IF(COUNT(B122:F122)=0,"",AVERAGE(B122:F122))</x:f>
        <x:v>5</x:v>
      </x:c>
      <x:c r="H122" s="86" t="str">
        <x:v>Easy to use.</x:v>
      </x:c>
      <x:c r="I122" s="154"/>
      <x:c r="J122" s="156"/>
      <x:c r="K122" s="156"/>
      <x:c r="L122" s="156"/>
      <x:c r="M122" s="156"/>
      <x:c r="N122" s="156"/>
      <x:c r="O122" s="156"/>
    </x:row>
    <x:row r="123" ht="22" customHeight="1">
      <x:c r="A123" s="84" t="str">
        <x:v>P122</x:v>
      </x:c>
      <x:c r="B123" s="84" t="n">
        <x:v>5</x:v>
      </x:c>
      <x:c r="C123" s="84" t="n">
        <x:v>4</x:v>
      </x:c>
      <x:c r="D123" s="84" t="n">
        <x:v>5</x:v>
      </x:c>
      <x:c r="E123" s="84" t="n">
        <x:v>5</x:v>
      </x:c>
      <x:c r="F123" s="84" t="n">
        <x:v>5</x:v>
      </x:c>
      <x:c r="G123" s="136" t="n">
        <x:f>IF(COUNT(B123:F123)=0,"",AVERAGE(B123:F123))</x:f>
        <x:v>4.8</x:v>
      </x:c>
      <x:c r="H123" s="86" t="str">
        <x:v>Clear prediction.</x:v>
      </x:c>
      <x:c r="I123" s="154"/>
      <x:c r="J123" s="156"/>
      <x:c r="K123" s="156"/>
      <x:c r="L123" s="156"/>
      <x:c r="M123" s="156"/>
      <x:c r="N123" s="156"/>
      <x:c r="O123" s="156"/>
    </x:row>
    <x:row r="124" ht="22" customHeight="1">
      <x:c r="A124" s="84" t="str">
        <x:v>P123</x:v>
      </x:c>
      <x:c r="B124" s="84" t="n">
        <x:v>4</x:v>
      </x:c>
      <x:c r="C124" s="84" t="n">
        <x:v>5</x:v>
      </x:c>
      <x:c r="D124" s="84" t="n">
        <x:v>5</x:v>
      </x:c>
      <x:c r="E124" s="84" t="n">
        <x:v>4</x:v>
      </x:c>
      <x:c r="F124" s="84" t="n">
        <x:v>5</x:v>
      </x:c>
      <x:c r="G124" s="136" t="n">
        <x:f>IF(COUNT(B124:F124)=0,"",AVERAGE(B124:F124))</x:f>
        <x:v>4.6</x:v>
      </x:c>
      <x:c r="H124" s="86" t="str">
        <x:v>Good interface.</x:v>
      </x:c>
      <x:c r="I124" s="154"/>
      <x:c r="J124" s="156"/>
      <x:c r="K124" s="156"/>
      <x:c r="L124" s="156"/>
      <x:c r="M124" s="156"/>
      <x:c r="N124" s="156"/>
      <x:c r="O124" s="156"/>
    </x:row>
    <x:row r="125" ht="22" customHeight="1">
      <x:c r="A125" s="84" t="str">
        <x:v>P124</x:v>
      </x:c>
      <x:c r="B125" s="84" t="n">
        <x:v>5</x:v>
      </x:c>
      <x:c r="C125" s="84" t="n">
        <x:v>5</x:v>
      </x:c>
      <x:c r="D125" s="84" t="n">
        <x:v>4</x:v>
      </x:c>
      <x:c r="E125" s="84" t="n">
        <x:v>5</x:v>
      </x:c>
      <x:c r="F125" s="84" t="n">
        <x:v>5</x:v>
      </x:c>
      <x:c r="G125" s="136" t="n">
        <x:f>IF(COUNT(B125:F125)=0,"",AVERAGE(B125:F125))</x:f>
        <x:v>4.8</x:v>
      </x:c>
      <x:c r="H125" s="86" t="str">
        <x:v>Useful output.</x:v>
      </x:c>
      <x:c r="I125" s="154"/>
      <x:c r="J125" s="156"/>
      <x:c r="K125" s="156"/>
      <x:c r="L125" s="156"/>
      <x:c r="M125" s="156"/>
      <x:c r="N125" s="156"/>
      <x:c r="O125" s="156"/>
    </x:row>
    <x:row r="126" ht="22" customHeight="1">
      <x:c r="A126" s="84" t="str">
        <x:v>P125</x:v>
      </x:c>
      <x:c r="B126" s="84" t="n">
        <x:v>4</x:v>
      </x:c>
      <x:c r="C126" s="84" t="n">
        <x:v>4</x:v>
      </x:c>
      <x:c r="D126" s="84" t="n">
        <x:v>5</x:v>
      </x:c>
      <x:c r="E126" s="84" t="n">
        <x:v>5</x:v>
      </x:c>
      <x:c r="F126" s="84" t="n">
        <x:v>4</x:v>
      </x:c>
      <x:c r="G126" s="136" t="n">
        <x:f>IF(COUNT(B126:F126)=0,"",AVERAGE(B126:F126))</x:f>
        <x:v>4.4</x:v>
      </x:c>
      <x:c r="H126" s="86" t="str">
        <x:v>Simple workflow.</x:v>
      </x:c>
      <x:c r="I126" s="154"/>
      <x:c r="J126" s="156"/>
      <x:c r="K126" s="156"/>
      <x:c r="L126" s="156"/>
      <x:c r="M126" s="156"/>
      <x:c r="N126" s="156"/>
      <x:c r="O126" s="156"/>
    </x:row>
    <x:row r="127" ht="22" customHeight="1">
      <x:c r="A127" s="84" t="str">
        <x:v>P126</x:v>
      </x:c>
      <x:c r="B127" s="84" t="n">
        <x:v>5</x:v>
      </x:c>
      <x:c r="C127" s="84" t="n">
        <x:v>5</x:v>
      </x:c>
      <x:c r="D127" s="84" t="n">
        <x:v>5</x:v>
      </x:c>
      <x:c r="E127" s="84" t="n">
        <x:v>4</x:v>
      </x:c>
      <x:c r="F127" s="84" t="n">
        <x:v>5</x:v>
      </x:c>
      <x:c r="G127" s="136" t="n">
        <x:f>IF(COUNT(B127:F127)=0,"",AVERAGE(B127:F127))</x:f>
        <x:v>4.8</x:v>
      </x:c>
      <x:c r="H127" s="86" t="str">
        <x:v>Easy to understand.</x:v>
      </x:c>
      <x:c r="I127" s="154"/>
      <x:c r="J127" s="156"/>
      <x:c r="K127" s="156"/>
      <x:c r="L127" s="156"/>
      <x:c r="M127" s="156"/>
      <x:c r="N127" s="156"/>
      <x:c r="O127" s="156"/>
    </x:row>
    <x:row r="128" ht="22" customHeight="1">
      <x:c r="A128" s="84" t="str">
        <x:v>P127</x:v>
      </x:c>
      <x:c r="B128" s="84" t="n">
        <x:v>4</x:v>
      </x:c>
      <x:c r="C128" s="84" t="n">
        <x:v>5</x:v>
      </x:c>
      <x:c r="D128" s="84" t="n">
        <x:v>4</x:v>
      </x:c>
      <x:c r="E128" s="84" t="n">
        <x:v>5</x:v>
      </x:c>
      <x:c r="F128" s="84" t="n">
        <x:v>5</x:v>
      </x:c>
      <x:c r="G128" s="136" t="n">
        <x:f>IF(COUNT(B128:F128)=0,"",AVERAGE(B128:F128))</x:f>
        <x:v>4.6</x:v>
      </x:c>
      <x:c r="H128" s="86" t="str">
        <x:v>Clear result.</x:v>
      </x:c>
      <x:c r="I128" s="154"/>
      <x:c r="J128" s="156"/>
      <x:c r="K128" s="156"/>
      <x:c r="L128" s="156"/>
      <x:c r="M128" s="156"/>
      <x:c r="N128" s="156"/>
      <x:c r="O128" s="156"/>
    </x:row>
    <x:row r="129" ht="22" customHeight="1">
      <x:c r="A129" s="84" t="str">
        <x:v>P128</x:v>
      </x:c>
      <x:c r="B129" s="84" t="n">
        <x:v>5</x:v>
      </x:c>
      <x:c r="C129" s="84" t="n">
        <x:v>4</x:v>
      </x:c>
      <x:c r="D129" s="84" t="n">
        <x:v>5</x:v>
      </x:c>
      <x:c r="E129" s="84" t="n">
        <x:v>4</x:v>
      </x:c>
      <x:c r="F129" s="84" t="n">
        <x:v>5</x:v>
      </x:c>
      <x:c r="G129" s="136" t="n">
        <x:f>IF(COUNT(B129:F129)=0,"",AVERAGE(B129:F129))</x:f>
        <x:v>4.6</x:v>
      </x:c>
      <x:c r="H129" s="86" t="str">
        <x:v>Good layout.</x:v>
      </x:c>
      <x:c r="I129" s="154"/>
      <x:c r="J129" s="156"/>
      <x:c r="K129" s="156"/>
      <x:c r="L129" s="156"/>
      <x:c r="M129" s="156"/>
      <x:c r="N129" s="156"/>
      <x:c r="O129" s="156"/>
    </x:row>
    <x:row r="130" ht="22" customHeight="1">
      <x:c r="A130" s="84" t="str">
        <x:v>P129</x:v>
      </x:c>
      <x:c r="B130" s="84" t="n">
        <x:v>5</x:v>
      </x:c>
      <x:c r="C130" s="84" t="n">
        <x:v>5</x:v>
      </x:c>
      <x:c r="D130" s="84" t="n">
        <x:v>5</x:v>
      </x:c>
      <x:c r="E130" s="84" t="n">
        <x:v>5</x:v>
      </x:c>
      <x:c r="F130" s="84" t="n">
        <x:v>4</x:v>
      </x:c>
      <x:c r="G130" s="136" t="n">
        <x:f>IF(COUNT(B130:F130)=0,"",AVERAGE(B130:F130))</x:f>
        <x:v>4.8</x:v>
      </x:c>
      <x:c r="H130" s="86" t="str">
        <x:v>Relevant prediction.</x:v>
      </x:c>
      <x:c r="I130" s="154"/>
      <x:c r="J130" s="156"/>
      <x:c r="K130" s="156"/>
      <x:c r="L130" s="156"/>
      <x:c r="M130" s="156"/>
      <x:c r="N130" s="156"/>
      <x:c r="O130" s="156"/>
    </x:row>
    <x:row r="131" ht="22" customHeight="1">
      <x:c r="A131" s="84" t="str">
        <x:v>P130</x:v>
      </x:c>
      <x:c r="B131" s="84" t="n">
        <x:v>4</x:v>
      </x:c>
      <x:c r="C131" s="84" t="n">
        <x:v>5</x:v>
      </x:c>
      <x:c r="D131" s="84" t="n">
        <x:v>5</x:v>
      </x:c>
      <x:c r="E131" s="84" t="n">
        <x:v>5</x:v>
      </x:c>
      <x:c r="F131" s="84" t="n">
        <x:v>4</x:v>
      </x:c>
      <x:c r="G131" s="136" t="n">
        <x:f>IF(COUNT(B131:F131)=0,"",AVERAGE(B131:F131))</x:f>
        <x:v>4.6</x:v>
      </x:c>
      <x:c r="H131" s="86" t="str">
        <x:v>Easy navigation.</x:v>
      </x:c>
      <x:c r="I131" s="154"/>
      <x:c r="J131" s="156"/>
      <x:c r="K131" s="156"/>
      <x:c r="L131" s="156"/>
      <x:c r="M131" s="156"/>
      <x:c r="N131" s="156"/>
      <x:c r="O131" s="156"/>
    </x:row>
    <x:row r="132" ht="22" customHeight="1">
      <x:c r="A132" s="84" t="str">
        <x:v>P131</x:v>
      </x:c>
      <x:c r="B132" s="84" t="n">
        <x:v>5</x:v>
      </x:c>
      <x:c r="C132" s="84" t="n">
        <x:v>5</x:v>
      </x:c>
      <x:c r="D132" s="84" t="n">
        <x:v>5</x:v>
      </x:c>
      <x:c r="E132" s="84" t="n">
        <x:v>5</x:v>
      </x:c>
      <x:c r="F132" s="84" t="n">
        <x:v>5</x:v>
      </x:c>
      <x:c r="G132" s="136" t="n">
        <x:f>IF(COUNT(B132:F132)=0,"",AVERAGE(B132:F132))</x:f>
        <x:v>5</x:v>
      </x:c>
      <x:c r="H132" s="86" t="str">
        <x:v>Easy to use.</x:v>
      </x:c>
      <x:c r="I132" s="154"/>
      <x:c r="J132" s="156"/>
      <x:c r="K132" s="156"/>
      <x:c r="L132" s="156"/>
      <x:c r="M132" s="156"/>
      <x:c r="N132" s="156"/>
      <x:c r="O132" s="156"/>
    </x:row>
    <x:row r="133" ht="22" customHeight="1">
      <x:c r="A133" s="84" t="str">
        <x:v>P132</x:v>
      </x:c>
      <x:c r="B133" s="84" t="n">
        <x:v>5</x:v>
      </x:c>
      <x:c r="C133" s="84" t="n">
        <x:v>4</x:v>
      </x:c>
      <x:c r="D133" s="84" t="n">
        <x:v>5</x:v>
      </x:c>
      <x:c r="E133" s="84" t="n">
        <x:v>5</x:v>
      </x:c>
      <x:c r="F133" s="84" t="n">
        <x:v>5</x:v>
      </x:c>
      <x:c r="G133" s="136" t="n">
        <x:f>IF(COUNT(B133:F133)=0,"",AVERAGE(B133:F133))</x:f>
        <x:v>4.8</x:v>
      </x:c>
      <x:c r="H133" s="86" t="str">
        <x:v>Clear prediction.</x:v>
      </x:c>
      <x:c r="I133" s="154"/>
      <x:c r="J133" s="156"/>
      <x:c r="K133" s="156"/>
      <x:c r="L133" s="156"/>
      <x:c r="M133" s="156"/>
      <x:c r="N133" s="156"/>
      <x:c r="O133" s="156"/>
    </x:row>
    <x:row r="134" ht="22" customHeight="1">
      <x:c r="A134" s="84" t="str">
        <x:v>P133</x:v>
      </x:c>
      <x:c r="B134" s="84" t="n">
        <x:v>4</x:v>
      </x:c>
      <x:c r="C134" s="84" t="n">
        <x:v>5</x:v>
      </x:c>
      <x:c r="D134" s="84" t="n">
        <x:v>5</x:v>
      </x:c>
      <x:c r="E134" s="84" t="n">
        <x:v>4</x:v>
      </x:c>
      <x:c r="F134" s="84" t="n">
        <x:v>5</x:v>
      </x:c>
      <x:c r="G134" s="136" t="n">
        <x:f>IF(COUNT(B134:F134)=0,"",AVERAGE(B134:F134))</x:f>
        <x:v>4.6</x:v>
      </x:c>
      <x:c r="H134" s="86" t="str">
        <x:v>Good interface.</x:v>
      </x:c>
      <x:c r="I134" s="154"/>
      <x:c r="J134" s="156"/>
      <x:c r="K134" s="156"/>
      <x:c r="L134" s="156"/>
      <x:c r="M134" s="156"/>
      <x:c r="N134" s="156"/>
      <x:c r="O134" s="156"/>
    </x:row>
    <x:row r="135" ht="22" customHeight="1">
      <x:c r="A135" s="84" t="str">
        <x:v>P134</x:v>
      </x:c>
      <x:c r="B135" s="84" t="n">
        <x:v>5</x:v>
      </x:c>
      <x:c r="C135" s="84" t="n">
        <x:v>5</x:v>
      </x:c>
      <x:c r="D135" s="84" t="n">
        <x:v>4</x:v>
      </x:c>
      <x:c r="E135" s="84" t="n">
        <x:v>5</x:v>
      </x:c>
      <x:c r="F135" s="84" t="n">
        <x:v>5</x:v>
      </x:c>
      <x:c r="G135" s="136" t="n">
        <x:f>IF(COUNT(B135:F135)=0,"",AVERAGE(B135:F135))</x:f>
        <x:v>4.8</x:v>
      </x:c>
      <x:c r="H135" s="86" t="str">
        <x:v>Useful output.</x:v>
      </x:c>
      <x:c r="I135" s="154"/>
      <x:c r="J135" s="156"/>
      <x:c r="K135" s="156"/>
      <x:c r="L135" s="156"/>
      <x:c r="M135" s="156"/>
      <x:c r="N135" s="156"/>
      <x:c r="O135" s="156"/>
    </x:row>
    <x:row r="136" ht="22" customHeight="1">
      <x:c r="A136" s="84" t="str">
        <x:v>P135</x:v>
      </x:c>
      <x:c r="B136" s="84" t="n">
        <x:v>4</x:v>
      </x:c>
      <x:c r="C136" s="84" t="n">
        <x:v>4</x:v>
      </x:c>
      <x:c r="D136" s="84" t="n">
        <x:v>5</x:v>
      </x:c>
      <x:c r="E136" s="84" t="n">
        <x:v>5</x:v>
      </x:c>
      <x:c r="F136" s="84" t="n">
        <x:v>4</x:v>
      </x:c>
      <x:c r="G136" s="136" t="n">
        <x:f>IF(COUNT(B136:F136)=0,"",AVERAGE(B136:F136))</x:f>
        <x:v>4.4</x:v>
      </x:c>
      <x:c r="H136" s="86" t="str">
        <x:v>Simple workflow.</x:v>
      </x:c>
      <x:c r="I136" s="154"/>
      <x:c r="J136" s="156"/>
      <x:c r="K136" s="156"/>
      <x:c r="L136" s="156"/>
      <x:c r="M136" s="156"/>
      <x:c r="N136" s="156"/>
      <x:c r="O136" s="156"/>
    </x:row>
    <x:row r="137" ht="22" customHeight="1">
      <x:c r="A137" s="84" t="str">
        <x:v>P136</x:v>
      </x:c>
      <x:c r="B137" s="84" t="n">
        <x:v>5</x:v>
      </x:c>
      <x:c r="C137" s="84" t="n">
        <x:v>5</x:v>
      </x:c>
      <x:c r="D137" s="84" t="n">
        <x:v>5</x:v>
      </x:c>
      <x:c r="E137" s="84" t="n">
        <x:v>4</x:v>
      </x:c>
      <x:c r="F137" s="84" t="n">
        <x:v>5</x:v>
      </x:c>
      <x:c r="G137" s="136" t="n">
        <x:f>IF(COUNT(B137:F137)=0,"",AVERAGE(B137:F137))</x:f>
        <x:v>4.8</x:v>
      </x:c>
      <x:c r="H137" s="86" t="str">
        <x:v>Easy to understand.</x:v>
      </x:c>
      <x:c r="I137" s="154"/>
      <x:c r="J137" s="156"/>
      <x:c r="K137" s="156"/>
      <x:c r="L137" s="156"/>
      <x:c r="M137" s="156"/>
      <x:c r="N137" s="156"/>
      <x:c r="O137" s="156"/>
    </x:row>
    <x:row r="138" ht="22" customHeight="1">
      <x:c r="A138" s="84" t="str">
        <x:v>P137</x:v>
      </x:c>
      <x:c r="B138" s="84" t="n">
        <x:v>4</x:v>
      </x:c>
      <x:c r="C138" s="84" t="n">
        <x:v>5</x:v>
      </x:c>
      <x:c r="D138" s="84" t="n">
        <x:v>4</x:v>
      </x:c>
      <x:c r="E138" s="84" t="n">
        <x:v>5</x:v>
      </x:c>
      <x:c r="F138" s="84" t="n">
        <x:v>5</x:v>
      </x:c>
      <x:c r="G138" s="136" t="n">
        <x:f>IF(COUNT(B138:F138)=0,"",AVERAGE(B138:F138))</x:f>
        <x:v>4.6</x:v>
      </x:c>
      <x:c r="H138" s="86" t="str">
        <x:v>Clear result.</x:v>
      </x:c>
      <x:c r="I138" s="154"/>
      <x:c r="J138" s="156"/>
      <x:c r="K138" s="156"/>
      <x:c r="L138" s="156"/>
      <x:c r="M138" s="156"/>
      <x:c r="N138" s="156"/>
      <x:c r="O138" s="156"/>
    </x:row>
    <x:row r="139" ht="22" customHeight="1">
      <x:c r="A139" s="84" t="str">
        <x:v>P138</x:v>
      </x:c>
      <x:c r="B139" s="84" t="n">
        <x:v>5</x:v>
      </x:c>
      <x:c r="C139" s="84" t="n">
        <x:v>4</x:v>
      </x:c>
      <x:c r="D139" s="84" t="n">
        <x:v>5</x:v>
      </x:c>
      <x:c r="E139" s="84" t="n">
        <x:v>4</x:v>
      </x:c>
      <x:c r="F139" s="84" t="n">
        <x:v>5</x:v>
      </x:c>
      <x:c r="G139" s="136" t="n">
        <x:f>IF(COUNT(B139:F139)=0,"",AVERAGE(B139:F139))</x:f>
        <x:v>4.6</x:v>
      </x:c>
      <x:c r="H139" s="86" t="str">
        <x:v>Good layout.</x:v>
      </x:c>
      <x:c r="I139" s="154"/>
      <x:c r="J139" s="156"/>
      <x:c r="K139" s="156"/>
      <x:c r="L139" s="156"/>
      <x:c r="M139" s="156"/>
      <x:c r="N139" s="156"/>
      <x:c r="O139" s="156"/>
    </x:row>
    <x:row r="140" ht="22" customHeight="1">
      <x:c r="A140" s="84" t="str">
        <x:v>P139</x:v>
      </x:c>
      <x:c r="B140" s="84" t="n">
        <x:v>5</x:v>
      </x:c>
      <x:c r="C140" s="84" t="n">
        <x:v>5</x:v>
      </x:c>
      <x:c r="D140" s="84" t="n">
        <x:v>5</x:v>
      </x:c>
      <x:c r="E140" s="84" t="n">
        <x:v>5</x:v>
      </x:c>
      <x:c r="F140" s="84" t="n">
        <x:v>4</x:v>
      </x:c>
      <x:c r="G140" s="136" t="n">
        <x:f>IF(COUNT(B140:F140)=0,"",AVERAGE(B140:F140))</x:f>
        <x:v>4.8</x:v>
      </x:c>
      <x:c r="H140" s="86" t="str">
        <x:v>Relevant prediction.</x:v>
      </x:c>
      <x:c r="I140" s="154"/>
      <x:c r="J140" s="156"/>
      <x:c r="K140" s="156"/>
      <x:c r="L140" s="156"/>
      <x:c r="M140" s="156"/>
      <x:c r="N140" s="156"/>
      <x:c r="O140" s="156"/>
    </x:row>
    <x:row r="141" ht="22" customHeight="1">
      <x:c r="A141" s="84" t="str">
        <x:v>P140</x:v>
      </x:c>
      <x:c r="B141" s="84" t="n">
        <x:v>4</x:v>
      </x:c>
      <x:c r="C141" s="84" t="n">
        <x:v>5</x:v>
      </x:c>
      <x:c r="D141" s="84" t="n">
        <x:v>5</x:v>
      </x:c>
      <x:c r="E141" s="84" t="n">
        <x:v>5</x:v>
      </x:c>
      <x:c r="F141" s="84" t="n">
        <x:v>4</x:v>
      </x:c>
      <x:c r="G141" s="136" t="n">
        <x:f>IF(COUNT(B141:F141)=0,"",AVERAGE(B141:F141))</x:f>
        <x:v>4.6</x:v>
      </x:c>
      <x:c r="H141" s="86" t="str">
        <x:v>Easy navigation.</x:v>
      </x:c>
      <x:c r="I141" s="154"/>
      <x:c r="J141" s="156"/>
      <x:c r="K141" s="156"/>
      <x:c r="L141" s="156"/>
      <x:c r="M141" s="156"/>
      <x:c r="N141" s="156"/>
      <x:c r="O141" s="156"/>
    </x:row>
    <x:row r="142" ht="22" customHeight="1">
      <x:c r="A142" s="84" t="str">
        <x:v>P141</x:v>
      </x:c>
      <x:c r="B142" s="84" t="n">
        <x:v>5</x:v>
      </x:c>
      <x:c r="C142" s="84" t="n">
        <x:v>5</x:v>
      </x:c>
      <x:c r="D142" s="84" t="n">
        <x:v>5</x:v>
      </x:c>
      <x:c r="E142" s="84" t="n">
        <x:v>5</x:v>
      </x:c>
      <x:c r="F142" s="84" t="n">
        <x:v>5</x:v>
      </x:c>
      <x:c r="G142" s="136" t="n">
        <x:f>IF(COUNT(B142:F142)=0,"",AVERAGE(B142:F142))</x:f>
        <x:v>5</x:v>
      </x:c>
      <x:c r="H142" s="86" t="str">
        <x:v>Easy to use.</x:v>
      </x:c>
      <x:c r="I142" s="154"/>
      <x:c r="J142" s="156"/>
      <x:c r="K142" s="156"/>
      <x:c r="L142" s="156"/>
      <x:c r="M142" s="156"/>
      <x:c r="N142" s="156"/>
      <x:c r="O142" s="156"/>
    </x:row>
    <x:row r="143" ht="22" customHeight="1">
      <x:c r="A143" s="84" t="str">
        <x:v>P142</x:v>
      </x:c>
      <x:c r="B143" s="84" t="n">
        <x:v>5</x:v>
      </x:c>
      <x:c r="C143" s="84" t="n">
        <x:v>4</x:v>
      </x:c>
      <x:c r="D143" s="84" t="n">
        <x:v>5</x:v>
      </x:c>
      <x:c r="E143" s="84" t="n">
        <x:v>5</x:v>
      </x:c>
      <x:c r="F143" s="84" t="n">
        <x:v>5</x:v>
      </x:c>
      <x:c r="G143" s="136" t="n">
        <x:f>IF(COUNT(B143:F143)=0,"",AVERAGE(B143:F143))</x:f>
        <x:v>4.8</x:v>
      </x:c>
      <x:c r="H143" s="86" t="str">
        <x:v>Clear prediction.</x:v>
      </x:c>
      <x:c r="I143" s="154"/>
      <x:c r="J143" s="156"/>
      <x:c r="K143" s="156"/>
      <x:c r="L143" s="156"/>
      <x:c r="M143" s="156"/>
      <x:c r="N143" s="156"/>
      <x:c r="O143" s="156"/>
    </x:row>
    <x:row r="144" ht="22" customHeight="1">
      <x:c r="A144" s="84" t="str">
        <x:v>P143</x:v>
      </x:c>
      <x:c r="B144" s="84" t="n">
        <x:v>4</x:v>
      </x:c>
      <x:c r="C144" s="84" t="n">
        <x:v>5</x:v>
      </x:c>
      <x:c r="D144" s="84" t="n">
        <x:v>5</x:v>
      </x:c>
      <x:c r="E144" s="84" t="n">
        <x:v>4</x:v>
      </x:c>
      <x:c r="F144" s="84" t="n">
        <x:v>5</x:v>
      </x:c>
      <x:c r="G144" s="136" t="n">
        <x:f>IF(COUNT(B144:F144)=0,"",AVERAGE(B144:F144))</x:f>
        <x:v>4.6</x:v>
      </x:c>
      <x:c r="H144" s="86" t="str">
        <x:v>Good interface.</x:v>
      </x:c>
      <x:c r="I144" s="154"/>
      <x:c r="J144" s="156"/>
      <x:c r="K144" s="156"/>
      <x:c r="L144" s="156"/>
      <x:c r="M144" s="156"/>
      <x:c r="N144" s="156"/>
      <x:c r="O144" s="156"/>
    </x:row>
    <x:row r="145" ht="22" customHeight="1">
      <x:c r="A145" s="84" t="str">
        <x:v>P144</x:v>
      </x:c>
      <x:c r="B145" s="84" t="n">
        <x:v>5</x:v>
      </x:c>
      <x:c r="C145" s="84" t="n">
        <x:v>5</x:v>
      </x:c>
      <x:c r="D145" s="84" t="n">
        <x:v>4</x:v>
      </x:c>
      <x:c r="E145" s="84" t="n">
        <x:v>5</x:v>
      </x:c>
      <x:c r="F145" s="84" t="n">
        <x:v>5</x:v>
      </x:c>
      <x:c r="G145" s="136" t="n">
        <x:f>IF(COUNT(B145:F145)=0,"",AVERAGE(B145:F145))</x:f>
        <x:v>4.8</x:v>
      </x:c>
      <x:c r="H145" s="86" t="str">
        <x:v>Useful output.</x:v>
      </x:c>
      <x:c r="I145" s="154"/>
      <x:c r="J145" s="156"/>
      <x:c r="K145" s="156"/>
      <x:c r="L145" s="156"/>
      <x:c r="M145" s="156"/>
      <x:c r="N145" s="156"/>
      <x:c r="O145" s="156"/>
    </x:row>
    <x:row r="146" ht="22" customHeight="1">
      <x:c r="A146" s="84" t="str">
        <x:v>P145</x:v>
      </x:c>
      <x:c r="B146" s="84" t="n">
        <x:v>4</x:v>
      </x:c>
      <x:c r="C146" s="84" t="n">
        <x:v>4</x:v>
      </x:c>
      <x:c r="D146" s="84" t="n">
        <x:v>5</x:v>
      </x:c>
      <x:c r="E146" s="84" t="n">
        <x:v>5</x:v>
      </x:c>
      <x:c r="F146" s="84" t="n">
        <x:v>4</x:v>
      </x:c>
      <x:c r="G146" s="136" t="n">
        <x:f>IF(COUNT(B146:F146)=0,"",AVERAGE(B146:F146))</x:f>
        <x:v>4.4</x:v>
      </x:c>
      <x:c r="H146" s="86" t="str">
        <x:v>Simple workflow.</x:v>
      </x:c>
      <x:c r="I146" s="154"/>
      <x:c r="J146" s="156"/>
      <x:c r="K146" s="156"/>
      <x:c r="L146" s="156"/>
      <x:c r="M146" s="156"/>
      <x:c r="N146" s="156"/>
      <x:c r="O146" s="156"/>
    </x:row>
    <x:row r="147" ht="22" customHeight="1">
      <x:c r="A147" s="84" t="str">
        <x:v>P146</x:v>
      </x:c>
      <x:c r="B147" s="84" t="n">
        <x:v>5</x:v>
      </x:c>
      <x:c r="C147" s="84" t="n">
        <x:v>5</x:v>
      </x:c>
      <x:c r="D147" s="84" t="n">
        <x:v>5</x:v>
      </x:c>
      <x:c r="E147" s="84" t="n">
        <x:v>4</x:v>
      </x:c>
      <x:c r="F147" s="84" t="n">
        <x:v>5</x:v>
      </x:c>
      <x:c r="G147" s="136" t="n">
        <x:f>IF(COUNT(B147:F147)=0,"",AVERAGE(B147:F147))</x:f>
        <x:v>4.8</x:v>
      </x:c>
      <x:c r="H147" s="86" t="str">
        <x:v>Easy to understand.</x:v>
      </x:c>
      <x:c r="I147" s="154"/>
      <x:c r="J147" s="156"/>
      <x:c r="K147" s="156"/>
      <x:c r="L147" s="156"/>
      <x:c r="M147" s="156"/>
      <x:c r="N147" s="156"/>
      <x:c r="O147" s="156"/>
    </x:row>
    <x:row r="148" ht="22" customHeight="1">
      <x:c r="A148" s="84" t="str">
        <x:v>P147</x:v>
      </x:c>
      <x:c r="B148" s="84" t="n">
        <x:v>4</x:v>
      </x:c>
      <x:c r="C148" s="84" t="n">
        <x:v>5</x:v>
      </x:c>
      <x:c r="D148" s="84" t="n">
        <x:v>4</x:v>
      </x:c>
      <x:c r="E148" s="84" t="n">
        <x:v>5</x:v>
      </x:c>
      <x:c r="F148" s="84" t="n">
        <x:v>5</x:v>
      </x:c>
      <x:c r="G148" s="136" t="n">
        <x:f>IF(COUNT(B148:F148)=0,"",AVERAGE(B148:F148))</x:f>
        <x:v>4.6</x:v>
      </x:c>
      <x:c r="H148" s="86" t="str">
        <x:v>Clear result.</x:v>
      </x:c>
      <x:c r="I148" s="154"/>
      <x:c r="J148" s="156"/>
      <x:c r="K148" s="156"/>
      <x:c r="L148" s="156"/>
      <x:c r="M148" s="156"/>
      <x:c r="N148" s="156"/>
      <x:c r="O148" s="156"/>
    </x:row>
    <x:row r="149" ht="22" customHeight="1">
      <x:c r="A149" s="84" t="str">
        <x:v>P148</x:v>
      </x:c>
      <x:c r="B149" s="84" t="n">
        <x:v>5</x:v>
      </x:c>
      <x:c r="C149" s="84" t="n">
        <x:v>4</x:v>
      </x:c>
      <x:c r="D149" s="84" t="n">
        <x:v>5</x:v>
      </x:c>
      <x:c r="E149" s="84" t="n">
        <x:v>4</x:v>
      </x:c>
      <x:c r="F149" s="84" t="n">
        <x:v>5</x:v>
      </x:c>
      <x:c r="G149" s="136" t="n">
        <x:f>IF(COUNT(B149:F149)=0,"",AVERAGE(B149:F149))</x:f>
        <x:v>4.6</x:v>
      </x:c>
      <x:c r="H149" s="86" t="str">
        <x:v>Good layout.</x:v>
      </x:c>
      <x:c r="I149" s="154"/>
      <x:c r="J149" s="156"/>
      <x:c r="K149" s="156"/>
      <x:c r="L149" s="156"/>
      <x:c r="M149" s="156"/>
      <x:c r="N149" s="156"/>
      <x:c r="O149" s="156"/>
    </x:row>
    <x:row r="150" ht="22" customHeight="1">
      <x:c r="A150" s="84" t="str">
        <x:v>P149</x:v>
      </x:c>
      <x:c r="B150" s="84" t="n">
        <x:v>5</x:v>
      </x:c>
      <x:c r="C150" s="84" t="n">
        <x:v>5</x:v>
      </x:c>
      <x:c r="D150" s="84" t="n">
        <x:v>5</x:v>
      </x:c>
      <x:c r="E150" s="84" t="n">
        <x:v>5</x:v>
      </x:c>
      <x:c r="F150" s="84" t="n">
        <x:v>4</x:v>
      </x:c>
      <x:c r="G150" s="136" t="n">
        <x:f>IF(COUNT(B150:F150)=0,"",AVERAGE(B150:F150))</x:f>
        <x:v>4.8</x:v>
      </x:c>
      <x:c r="H150" s="86" t="str">
        <x:v>Relevant prediction.</x:v>
      </x:c>
      <x:c r="I150" s="154"/>
      <x:c r="J150" s="156"/>
      <x:c r="K150" s="156"/>
      <x:c r="L150" s="156"/>
      <x:c r="M150" s="156"/>
      <x:c r="N150" s="156"/>
      <x:c r="O150" s="156"/>
    </x:row>
    <x:row r="151" ht="22" customHeight="1">
      <x:c r="A151" s="84" t="str">
        <x:v>P150</x:v>
      </x:c>
      <x:c r="B151" s="84" t="n">
        <x:v>4</x:v>
      </x:c>
      <x:c r="C151" s="84" t="n">
        <x:v>5</x:v>
      </x:c>
      <x:c r="D151" s="84" t="n">
        <x:v>5</x:v>
      </x:c>
      <x:c r="E151" s="84" t="n">
        <x:v>5</x:v>
      </x:c>
      <x:c r="F151" s="84" t="n">
        <x:v>4</x:v>
      </x:c>
      <x:c r="G151" s="136" t="n">
        <x:f>IF(COUNT(B151:F151)=0,"",AVERAGE(B151:F151))</x:f>
        <x:v>4.6</x:v>
      </x:c>
      <x:c r="H151" s="86" t="str">
        <x:v>Easy navigation.</x:v>
      </x:c>
      <x:c r="I151" s="154"/>
      <x:c r="J151" s="156"/>
      <x:c r="K151" s="156"/>
      <x:c r="L151" s="156"/>
      <x:c r="M151" s="156"/>
      <x:c r="N151" s="156"/>
      <x:c r="O151" s="156"/>
    </x:row>
  </x:sheetData>
  <x:mergeCells>
    <x:mergeCell ref="J1:O3"/>
    <x:mergeCell ref="J4:O4"/>
  </x:mergeCells>
  <x:conditionalFormatting sqref="B2:G15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">
    <x:dataValidation type="list" sqref="B2:F15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97f2b3a9c049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0" hidden="0" customWidth="1"/>
    <x:col min="5" max="5" width="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91" t="str">
        <x:v>Human Evaluation Dashboard — 150 Participant Template</x:v>
      </x:c>
    </x:row>
    <x:row r="3">
      <x:c r="A3" s="97" t="str">
        <x:v>Participants</x:v>
      </x:c>
      <x:c r="B3" s="97"/>
      <x:c r="C3" s="109" t="str">
        <x:v>Responses</x:v>
      </x:c>
      <x:c r="D3" s="109"/>
      <x:c r="E3" s="113" t="str">
        <x:v>Overall Mean</x:v>
      </x:c>
      <x:c r="F3" s="113"/>
      <x:c r="G3" s="117" t="str">
        <x:v>Completion %</x:v>
      </x:c>
      <x:c r="H3" s="117"/>
    </x:row>
    <x:row r="4">
      <x:c r="A4" s="103" t="n">
        <x:f>COUNTA('Human Evaluation'!A2:A151)</x:f>
        <x:v>150</x:v>
      </x:c>
      <x:c r="B4" s="103"/>
      <x:c r="C4" s="103" t="n">
        <x:f>COUNT('Human Evaluation'!B2:B151)</x:f>
        <x:v>150</x:v>
      </x:c>
      <x:c r="D4" s="103"/>
      <x:c r="E4" s="103" t="n">
        <x:f>IFERROR(AVERAGE('Human Evaluation'!G2:G151),"")</x:f>
        <x:v>4.700000000000002</x:v>
      </x:c>
      <x:c r="F4" s="103"/>
      <x:c r="G4" s="120" t="n">
        <x:f>IFERROR(COUNT('Human Evaluation'!B2:B151)/COUNTA('Human Evaluation'!A2:A151),"")</x:f>
        <x:v>1</x:v>
      </x:c>
      <x:c r="H4" s="120"/>
    </x:row>
    <x:row r="5">
      <x:c r="A5" s="103"/>
      <x:c r="B5" s="103"/>
      <x:c r="C5" s="103"/>
      <x:c r="D5" s="103"/>
      <x:c r="E5" s="103"/>
      <x:c r="F5" s="103"/>
      <x:c r="G5" s="120"/>
      <x:c r="H5" s="120"/>
    </x:row>
    <x:row r="8">
      <x:c r="A8" s="96" t="str">
        <x:v>Factor</x:v>
      </x:c>
      <x:c r="B8" s="108" t="str">
        <x:v>Average</x:v>
      </x:c>
      <x:c r="C8" s="112" t="str">
        <x:v>Responses</x:v>
      </x:c>
      <x:c r="D8" s="116" t="str">
        <x:v>Max</x:v>
      </x:c>
      <x:c r="F8" s="43" t="str">
        <x:v>Rating</x:v>
      </x:c>
      <x:c r="G8" s="53" t="str">
        <x:v>Count</x:v>
      </x:c>
    </x:row>
    <x:row r="9">
      <x:c r="A9" t="str">
        <x:v>Ease of Use</x:v>
      </x:c>
      <x:c r="B9" s="122" t="n">
        <x:f>IFERROR(AVERAGE('Human Evaluation'!B2:B151),"")</x:f>
        <x:v>4.6</x:v>
      </x:c>
      <x:c r="C9" t="n">
        <x:f>COUNT('Human Evaluation'!B2:B151)</x:f>
        <x:v>150</x:v>
      </x:c>
      <x:c r="D9" t="n">
        <x:v>5</x:v>
      </x:c>
      <x:c r="F9" t="n">
        <x:v>1</x:v>
      </x:c>
      <x:c r="G9" t="n">
        <x:f>COUNTIF('Human Evaluation'!G2:G151,F9)</x:f>
        <x:v>0</x:v>
      </x:c>
    </x:row>
    <x:row r="10">
      <x:c r="A10" t="str">
        <x:v>Prediction Clarity</x:v>
      </x:c>
      <x:c r="B10" s="122" t="n">
        <x:f>IFERROR(AVERAGE('Human Evaluation'!C2:C151),"")</x:f>
        <x:v>4.7</x:v>
      </x:c>
      <x:c r="C10" t="n">
        <x:f>COUNT('Human Evaluation'!C2:C151)</x:f>
        <x:v>150</x:v>
      </x:c>
      <x:c r="D10" t="n">
        <x:v>5</x:v>
      </x:c>
      <x:c r="F10" t="n">
        <x:v>2</x:v>
      </x:c>
      <x:c r="G10" t="n">
        <x:f>COUNTIF('Human Evaluation'!G2:G151,F10)</x:f>
        <x:v>0</x:v>
      </x:c>
    </x:row>
    <x:row r="11">
      <x:c r="A11" t="str">
        <x:v>Prediction Relevance</x:v>
      </x:c>
      <x:c r="B11" s="122" t="n">
        <x:f>IFERROR(AVERAGE('Human Evaluation'!D2:D151),"")</x:f>
        <x:v>4.8</x:v>
      </x:c>
      <x:c r="C11" t="n">
        <x:f>COUNT('Human Evaluation'!D2:D151)</x:f>
        <x:v>150</x:v>
      </x:c>
      <x:c r="D11" t="n">
        <x:v>5</x:v>
      </x:c>
      <x:c r="F11" t="n">
        <x:v>3</x:v>
      </x:c>
      <x:c r="G11" t="n">
        <x:f>COUNTIF('Human Evaluation'!G2:G151,F11)</x:f>
        <x:v>0</x:v>
      </x:c>
    </x:row>
    <x:row r="12">
      <x:c r="A12" t="str">
        <x:v>Interface Design</x:v>
      </x:c>
      <x:c r="B12" s="122" t="n">
        <x:f>IFERROR(AVERAGE('Human Evaluation'!E2:E151),"")</x:f>
        <x:v>4.7</x:v>
      </x:c>
      <x:c r="C12" t="n">
        <x:f>COUNT('Human Evaluation'!E2:E151)</x:f>
        <x:v>150</x:v>
      </x:c>
      <x:c r="D12" t="n">
        <x:v>5</x:v>
      </x:c>
      <x:c r="F12" t="n">
        <x:v>4</x:v>
      </x:c>
      <x:c r="G12" t="n">
        <x:f>COUNTIF('Human Evaluation'!G2:G151,F12)</x:f>
        <x:v>0</x:v>
      </x:c>
    </x:row>
    <x:row r="13">
      <x:c r="A13" t="str">
        <x:v>Overall Satisfaction</x:v>
      </x:c>
      <x:c r="B13" s="122" t="n">
        <x:f>IFERROR(AVERAGE('Human Evaluation'!F2:F151),"")</x:f>
        <x:v>4.7</x:v>
      </x:c>
      <x:c r="C13" t="n">
        <x:f>COUNT('Human Evaluation'!F2:F151)</x:f>
        <x:v>150</x:v>
      </x:c>
      <x:c r="D13" t="n">
        <x:v>5</x:v>
      </x:c>
      <x:c r="F13" t="n">
        <x:v>5</x:v>
      </x:c>
      <x:c r="G13" t="n">
        <x:f>COUNTIF('Human Evaluation'!G2:G151,F13)</x:f>
        <x:v>15</x:v>
      </x:c>
    </x:row>
    <x:row r="16">
      <x:c r="A16" s="140"/>
    </x:row>
    <x:row r="17">
      <x:c r="A17" s="135"/>
    </x:row>
  </x:sheetData>
  <x:mergeCells>
    <x:mergeCell ref="A1:H1"/>
    <x:mergeCell ref="A3:B3"/>
    <x:mergeCell ref="A4:B5"/>
    <x:mergeCell ref="C3:D3"/>
    <x:mergeCell ref="C4:D5"/>
    <x:mergeCell ref="E3:F3"/>
    <x:mergeCell ref="E4:F5"/>
    <x:mergeCell ref="G3:H3"/>
    <x:mergeCell ref="G4:H5"/>
    <x:mergeCell ref="A16:H16"/>
    <x:mergeCell ref="A17:H17"/>
  </x:mergeCells>
  <x:pageMargins left="0.7" right="0.7" top="0.75" bottom="0.75" header="0.3" footer="0.3"/>
  <x:drawing xmlns:r="http://schemas.openxmlformats.org/officeDocument/2006/relationships" r:id="Rec73aeeebf004fbb"/>
</x:worksheet>
</file>